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B45D01260FDE6CD/Documents/"/>
    </mc:Choice>
  </mc:AlternateContent>
  <xr:revisionPtr revIDLastSave="0" documentId="8_{EE4F68C0-EF6C-4CA9-BF27-C1BD19CE4F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4" r:id="rId1"/>
    <sheet name="Sales_Data" sheetId="1" r:id="rId2"/>
    <sheet name="Instructions" sheetId="2" r:id="rId3"/>
    <sheet name="Sheet1" sheetId="3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2" i="1"/>
</calcChain>
</file>

<file path=xl/sharedStrings.xml><?xml version="1.0" encoding="utf-8"?>
<sst xmlns="http://schemas.openxmlformats.org/spreadsheetml/2006/main" count="1040" uniqueCount="241">
  <si>
    <t>Invoice_ID</t>
  </si>
  <si>
    <t>Date</t>
  </si>
  <si>
    <t>SKU</t>
  </si>
  <si>
    <t>Product</t>
  </si>
  <si>
    <t>City</t>
  </si>
  <si>
    <t>Customer_Type</t>
  </si>
  <si>
    <t>Quantity_Sold</t>
  </si>
  <si>
    <t>Manufacturing_Cost</t>
  </si>
  <si>
    <t>MRP</t>
  </si>
  <si>
    <t>Selling_Price</t>
  </si>
  <si>
    <t>Opening_Stock</t>
  </si>
  <si>
    <t>Closing_Stock</t>
  </si>
  <si>
    <t>INV1000</t>
  </si>
  <si>
    <t>SB003</t>
  </si>
  <si>
    <t>Hazelnut Bar</t>
  </si>
  <si>
    <t>Delhi</t>
  </si>
  <si>
    <t>Wholesale</t>
  </si>
  <si>
    <t>INV1001</t>
  </si>
  <si>
    <t>SB002</t>
  </si>
  <si>
    <t>Dark Chocolate</t>
  </si>
  <si>
    <t>Pune</t>
  </si>
  <si>
    <t>INV1002</t>
  </si>
  <si>
    <t>SB005</t>
  </si>
  <si>
    <t>Strawberry Delight</t>
  </si>
  <si>
    <t>Mumbai</t>
  </si>
  <si>
    <t>Retail</t>
  </si>
  <si>
    <t>INV1003</t>
  </si>
  <si>
    <t>SB001</t>
  </si>
  <si>
    <t>Milk Chocolate</t>
  </si>
  <si>
    <t>Bengaluru</t>
  </si>
  <si>
    <t>INV1004</t>
  </si>
  <si>
    <t>SB004</t>
  </si>
  <si>
    <t>Almond Crunch</t>
  </si>
  <si>
    <t>INV1005</t>
  </si>
  <si>
    <t>INV1006</t>
  </si>
  <si>
    <t>INV1007</t>
  </si>
  <si>
    <t>SB008</t>
  </si>
  <si>
    <t>Orange Zest</t>
  </si>
  <si>
    <t>INV1008</t>
  </si>
  <si>
    <t>SB010</t>
  </si>
  <si>
    <t>Gift Box</t>
  </si>
  <si>
    <t>INV1009</t>
  </si>
  <si>
    <t>SB009</t>
  </si>
  <si>
    <t>Coffee Mocha</t>
  </si>
  <si>
    <t>INV1010</t>
  </si>
  <si>
    <t>INV1011</t>
  </si>
  <si>
    <t>INV1012</t>
  </si>
  <si>
    <t>INV1013</t>
  </si>
  <si>
    <t>INV1014</t>
  </si>
  <si>
    <t>INV1015</t>
  </si>
  <si>
    <t>INV1016</t>
  </si>
  <si>
    <t>INV1017</t>
  </si>
  <si>
    <t>INV1018</t>
  </si>
  <si>
    <t>INV1019</t>
  </si>
  <si>
    <t>INV1020</t>
  </si>
  <si>
    <t>SB007</t>
  </si>
  <si>
    <t>Mint Chocolate</t>
  </si>
  <si>
    <t>INV1021</t>
  </si>
  <si>
    <t>INV1022</t>
  </si>
  <si>
    <t>INV1023</t>
  </si>
  <si>
    <t>INV1024</t>
  </si>
  <si>
    <t>INV1025</t>
  </si>
  <si>
    <t>INV1026</t>
  </si>
  <si>
    <t>INV1027</t>
  </si>
  <si>
    <t>INV1028</t>
  </si>
  <si>
    <t>Kolkata</t>
  </si>
  <si>
    <t>INV1029</t>
  </si>
  <si>
    <t>INV1030</t>
  </si>
  <si>
    <t>INV1031</t>
  </si>
  <si>
    <t>INV1032</t>
  </si>
  <si>
    <t>INV1033</t>
  </si>
  <si>
    <t>INV1034</t>
  </si>
  <si>
    <t>INV1035</t>
  </si>
  <si>
    <t>INV1036</t>
  </si>
  <si>
    <t>INV1037</t>
  </si>
  <si>
    <t>INV1038</t>
  </si>
  <si>
    <t>INV1039</t>
  </si>
  <si>
    <t>INV1040</t>
  </si>
  <si>
    <t>INV1041</t>
  </si>
  <si>
    <t>SB006</t>
  </si>
  <si>
    <t>Caramel Bite</t>
  </si>
  <si>
    <t>INV1042</t>
  </si>
  <si>
    <t>INV1043</t>
  </si>
  <si>
    <t>INV1044</t>
  </si>
  <si>
    <t>INV1045</t>
  </si>
  <si>
    <t>INV1046</t>
  </si>
  <si>
    <t>INV1047</t>
  </si>
  <si>
    <t>INV1048</t>
  </si>
  <si>
    <t>INV1049</t>
  </si>
  <si>
    <t>INV1050</t>
  </si>
  <si>
    <t>INV1051</t>
  </si>
  <si>
    <t>INV1052</t>
  </si>
  <si>
    <t>INV1053</t>
  </si>
  <si>
    <t>INV1054</t>
  </si>
  <si>
    <t>INV1055</t>
  </si>
  <si>
    <t>INV1056</t>
  </si>
  <si>
    <t>INV1057</t>
  </si>
  <si>
    <t>INV1058</t>
  </si>
  <si>
    <t>INV1059</t>
  </si>
  <si>
    <t>INV1060</t>
  </si>
  <si>
    <t>INV1061</t>
  </si>
  <si>
    <t>INV1062</t>
  </si>
  <si>
    <t>INV1063</t>
  </si>
  <si>
    <t>INV1064</t>
  </si>
  <si>
    <t>INV1065</t>
  </si>
  <si>
    <t>INV1066</t>
  </si>
  <si>
    <t>INV1067</t>
  </si>
  <si>
    <t>INV1068</t>
  </si>
  <si>
    <t>INV1069</t>
  </si>
  <si>
    <t>INV1070</t>
  </si>
  <si>
    <t>INV1071</t>
  </si>
  <si>
    <t>INV1072</t>
  </si>
  <si>
    <t>INV1073</t>
  </si>
  <si>
    <t>INV1074</t>
  </si>
  <si>
    <t>INV1075</t>
  </si>
  <si>
    <t>INV1076</t>
  </si>
  <si>
    <t>INV1077</t>
  </si>
  <si>
    <t>INV1078</t>
  </si>
  <si>
    <t>INV1079</t>
  </si>
  <si>
    <t>INV1080</t>
  </si>
  <si>
    <t>INV1081</t>
  </si>
  <si>
    <t>INV1082</t>
  </si>
  <si>
    <t>INV1083</t>
  </si>
  <si>
    <t>INV1084</t>
  </si>
  <si>
    <t>INV1085</t>
  </si>
  <si>
    <t>INV1086</t>
  </si>
  <si>
    <t>INV1087</t>
  </si>
  <si>
    <t>INV1088</t>
  </si>
  <si>
    <t>INV1089</t>
  </si>
  <si>
    <t>INV1090</t>
  </si>
  <si>
    <t>INV1091</t>
  </si>
  <si>
    <t>INV1092</t>
  </si>
  <si>
    <t>INV1093</t>
  </si>
  <si>
    <t>INV1094</t>
  </si>
  <si>
    <t>INV1095</t>
  </si>
  <si>
    <t>INV1096</t>
  </si>
  <si>
    <t>INV1097</t>
  </si>
  <si>
    <t>INV1098</t>
  </si>
  <si>
    <t>INV1099</t>
  </si>
  <si>
    <t>INV1100</t>
  </si>
  <si>
    <t>INV1101</t>
  </si>
  <si>
    <t>INV1102</t>
  </si>
  <si>
    <t>INV1103</t>
  </si>
  <si>
    <t>INV1104</t>
  </si>
  <si>
    <t>INV1105</t>
  </si>
  <si>
    <t>INV1106</t>
  </si>
  <si>
    <t>INV1107</t>
  </si>
  <si>
    <t>INV1108</t>
  </si>
  <si>
    <t>INV1109</t>
  </si>
  <si>
    <t>INV1110</t>
  </si>
  <si>
    <t>INV1111</t>
  </si>
  <si>
    <t>INV1112</t>
  </si>
  <si>
    <t>INV1113</t>
  </si>
  <si>
    <t>INV1114</t>
  </si>
  <si>
    <t>INV1115</t>
  </si>
  <si>
    <t>INV1116</t>
  </si>
  <si>
    <t>INV1117</t>
  </si>
  <si>
    <t>INV1118</t>
  </si>
  <si>
    <t>INV1119</t>
  </si>
  <si>
    <t>INV1120</t>
  </si>
  <si>
    <t>INV1121</t>
  </si>
  <si>
    <t>INV1122</t>
  </si>
  <si>
    <t>INV1123</t>
  </si>
  <si>
    <t>INV1124</t>
  </si>
  <si>
    <t>INV1125</t>
  </si>
  <si>
    <t>INV1126</t>
  </si>
  <si>
    <t>INV1127</t>
  </si>
  <si>
    <t>INV1128</t>
  </si>
  <si>
    <t>INV1129</t>
  </si>
  <si>
    <t>INV1130</t>
  </si>
  <si>
    <t>INV1131</t>
  </si>
  <si>
    <t>INV1132</t>
  </si>
  <si>
    <t>INV1133</t>
  </si>
  <si>
    <t>INV1134</t>
  </si>
  <si>
    <t>INV1135</t>
  </si>
  <si>
    <t>INV1136</t>
  </si>
  <si>
    <t>INV1137</t>
  </si>
  <si>
    <t>INV1138</t>
  </si>
  <si>
    <t>INV1139</t>
  </si>
  <si>
    <t>INV1140</t>
  </si>
  <si>
    <t>INV1141</t>
  </si>
  <si>
    <t>INV1142</t>
  </si>
  <si>
    <t>INV1143</t>
  </si>
  <si>
    <t>INV1144</t>
  </si>
  <si>
    <t>INV1145</t>
  </si>
  <si>
    <t>INV1146</t>
  </si>
  <si>
    <t>INV1147</t>
  </si>
  <si>
    <t>INV1148</t>
  </si>
  <si>
    <t>INV1149</t>
  </si>
  <si>
    <t>INV1150</t>
  </si>
  <si>
    <t>INV1151</t>
  </si>
  <si>
    <t>INV1152</t>
  </si>
  <si>
    <t>INV1153</t>
  </si>
  <si>
    <t>INV1154</t>
  </si>
  <si>
    <t>INV1155</t>
  </si>
  <si>
    <t>INV1156</t>
  </si>
  <si>
    <t>INV1157</t>
  </si>
  <si>
    <t>INV1158</t>
  </si>
  <si>
    <t>INV1159</t>
  </si>
  <si>
    <t>INV1160</t>
  </si>
  <si>
    <t>INV1161</t>
  </si>
  <si>
    <t>INV1162</t>
  </si>
  <si>
    <t>INV1163</t>
  </si>
  <si>
    <t>INV1164</t>
  </si>
  <si>
    <t>INV1165</t>
  </si>
  <si>
    <t>INV1166</t>
  </si>
  <si>
    <t>INV1167</t>
  </si>
  <si>
    <t>INV1168</t>
  </si>
  <si>
    <t>INV1169</t>
  </si>
  <si>
    <t>INV1170</t>
  </si>
  <si>
    <t>INV1171</t>
  </si>
  <si>
    <t>INV1172</t>
  </si>
  <si>
    <t>INV1173</t>
  </si>
  <si>
    <t>INV1174</t>
  </si>
  <si>
    <t>INV1175</t>
  </si>
  <si>
    <t>INV1176</t>
  </si>
  <si>
    <t>INV1177</t>
  </si>
  <si>
    <t>INV1178</t>
  </si>
  <si>
    <t>INV1179</t>
  </si>
  <si>
    <t>SweetBite Chocolates - Analyst Challenge</t>
  </si>
  <si>
    <t>Do NOT ask for more data. Work with this dataset.</t>
  </si>
  <si>
    <t>• Find top-selling products.</t>
  </si>
  <si>
    <t>• Calculate total revenue (create formula).</t>
  </si>
  <si>
    <t>• Identify slow-moving products.</t>
  </si>
  <si>
    <t>• Create PivotTables by product and city.</t>
  </si>
  <si>
    <t>• Recommend production changes.</t>
  </si>
  <si>
    <t>• Create at least 3 charts.</t>
  </si>
  <si>
    <t>• Write 5 business insights.</t>
  </si>
  <si>
    <t>Row Labels</t>
  </si>
  <si>
    <t>Grand Total</t>
  </si>
  <si>
    <t>Sum of Quantity_Sold</t>
  </si>
  <si>
    <t>Average of Manufacturing_Cost</t>
  </si>
  <si>
    <t>Average of MRP</t>
  </si>
  <si>
    <t>Average of Selling_Price</t>
  </si>
  <si>
    <t>Revenue</t>
  </si>
  <si>
    <t>Sum of Revenue</t>
  </si>
  <si>
    <t xml:space="preserve">  </t>
  </si>
  <si>
    <t>Average of Opening_Stock</t>
  </si>
  <si>
    <t>Average of Closing_Stock</t>
  </si>
  <si>
    <t>Max of Opening_Stock</t>
  </si>
  <si>
    <t>Max of Closing_Stock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</si>
</sst>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[SweetBite.xlsx]Sheet2!PivotTable1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Sheet2!$A$4:$A$14</c:f>
              <c:strCache>
                <c:ptCount val="10"/>
                <c:pt idx="0">
                  <c:v>Almond Crunch</c:v>
                </c:pt>
                <c:pt idx="1">
                  <c:v>Caramel Bite</c:v>
                </c:pt>
                <c:pt idx="2">
                  <c:v>Coffee Mocha</c:v>
                </c:pt>
                <c:pt idx="3">
                  <c:v>Dark Chocolate</c:v>
                </c:pt>
                <c:pt idx="4">
                  <c:v>Gift Box</c:v>
                </c:pt>
                <c:pt idx="5">
                  <c:v>Hazelnut Bar</c:v>
                </c:pt>
                <c:pt idx="6">
                  <c:v>Milk Chocolate</c:v>
                </c:pt>
                <c:pt idx="7">
                  <c:v>Mint Chocolate</c:v>
                </c:pt>
                <c:pt idx="8">
                  <c:v>Orange Zest</c:v>
                </c:pt>
                <c:pt idx="9">
                  <c:v>Strawberry Delight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313</c:v>
                </c:pt>
                <c:pt idx="1">
                  <c:v>323</c:v>
                </c:pt>
                <c:pt idx="2">
                  <c:v>490</c:v>
                </c:pt>
                <c:pt idx="3">
                  <c:v>140</c:v>
                </c:pt>
                <c:pt idx="4">
                  <c:v>159</c:v>
                </c:pt>
                <c:pt idx="5">
                  <c:v>319</c:v>
                </c:pt>
                <c:pt idx="6">
                  <c:v>904</c:v>
                </c:pt>
                <c:pt idx="7">
                  <c:v>455</c:v>
                </c:pt>
                <c:pt idx="8">
                  <c:v>394</c:v>
                </c:pt>
                <c:pt idx="9">
                  <c:v>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BC-4DCB-B0BD-B33BC63E9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117983"/>
        <c:axId val="612107423"/>
      </c:barChart>
      <c:catAx>
        <c:axId val="61211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107423"/>
        <c:crosses val="autoZero"/>
        <c:auto val="1"/>
        <c:lblAlgn val="ctr"/>
        <c:lblOffset val="100"/>
        <c:noMultiLvlLbl val="0"/>
      </c:catAx>
      <c:valAx>
        <c:axId val="61210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117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[SweetBite.xlsx]Sheet2!PivotTable3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Sheet2!$A$19:$A$29</c:f>
              <c:strCache>
                <c:ptCount val="10"/>
                <c:pt idx="0">
                  <c:v>Almond Crunch</c:v>
                </c:pt>
                <c:pt idx="1">
                  <c:v>Caramel Bite</c:v>
                </c:pt>
                <c:pt idx="2">
                  <c:v>Coffee Mocha</c:v>
                </c:pt>
                <c:pt idx="3">
                  <c:v>Dark Chocolate</c:v>
                </c:pt>
                <c:pt idx="4">
                  <c:v>Gift Box</c:v>
                </c:pt>
                <c:pt idx="5">
                  <c:v>Hazelnut Bar</c:v>
                </c:pt>
                <c:pt idx="6">
                  <c:v>Milk Chocolate</c:v>
                </c:pt>
                <c:pt idx="7">
                  <c:v>Mint Chocolate</c:v>
                </c:pt>
                <c:pt idx="8">
                  <c:v>Orange Zest</c:v>
                </c:pt>
                <c:pt idx="9">
                  <c:v>Strawberry Delight</c:v>
                </c:pt>
              </c:strCache>
            </c:strRef>
          </c:cat>
          <c:val>
            <c:numRef>
              <c:f>Sheet2!$B$19:$B$29</c:f>
              <c:numCache>
                <c:formatCode>General</c:formatCode>
                <c:ptCount val="10"/>
                <c:pt idx="0">
                  <c:v>52</c:v>
                </c:pt>
                <c:pt idx="1">
                  <c:v>45</c:v>
                </c:pt>
                <c:pt idx="2">
                  <c:v>58</c:v>
                </c:pt>
                <c:pt idx="3">
                  <c:v>55</c:v>
                </c:pt>
                <c:pt idx="4">
                  <c:v>140</c:v>
                </c:pt>
                <c:pt idx="5">
                  <c:v>48</c:v>
                </c:pt>
                <c:pt idx="6">
                  <c:v>40</c:v>
                </c:pt>
                <c:pt idx="7">
                  <c:v>46</c:v>
                </c:pt>
                <c:pt idx="8">
                  <c:v>50</c:v>
                </c:pt>
                <c:pt idx="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2-49E4-B3E5-327668CBB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106943"/>
        <c:axId val="612127583"/>
      </c:barChart>
      <c:catAx>
        <c:axId val="61210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127583"/>
        <c:crosses val="autoZero"/>
        <c:auto val="1"/>
        <c:lblAlgn val="ctr"/>
        <c:lblOffset val="100"/>
        <c:noMultiLvlLbl val="0"/>
      </c:catAx>
      <c:valAx>
        <c:axId val="61212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10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[SweetBite.xlsx]Sheet2!PivotTable4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6238845144356974E-2"/>
          <c:y val="0.26328484981044037"/>
          <c:w val="0.75402034120734907"/>
          <c:h val="0.327542650918635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Sheet2!$A$36:$A$46</c:f>
              <c:strCache>
                <c:ptCount val="10"/>
                <c:pt idx="0">
                  <c:v>Almond Crunch</c:v>
                </c:pt>
                <c:pt idx="1">
                  <c:v>Caramel Bite</c:v>
                </c:pt>
                <c:pt idx="2">
                  <c:v>Coffee Mocha</c:v>
                </c:pt>
                <c:pt idx="3">
                  <c:v>Dark Chocolate</c:v>
                </c:pt>
                <c:pt idx="4">
                  <c:v>Gift Box</c:v>
                </c:pt>
                <c:pt idx="5">
                  <c:v>Hazelnut Bar</c:v>
                </c:pt>
                <c:pt idx="6">
                  <c:v>Milk Chocolate</c:v>
                </c:pt>
                <c:pt idx="7">
                  <c:v>Mint Chocolate</c:v>
                </c:pt>
                <c:pt idx="8">
                  <c:v>Orange Zest</c:v>
                </c:pt>
                <c:pt idx="9">
                  <c:v>Strawberry Delight</c:v>
                </c:pt>
              </c:strCache>
            </c:strRef>
          </c:cat>
          <c:val>
            <c:numRef>
              <c:f>Sheet2!$B$36:$B$46</c:f>
              <c:numCache>
                <c:formatCode>General</c:formatCode>
                <c:ptCount val="10"/>
                <c:pt idx="0">
                  <c:v>105</c:v>
                </c:pt>
                <c:pt idx="1">
                  <c:v>90</c:v>
                </c:pt>
                <c:pt idx="2">
                  <c:v>118</c:v>
                </c:pt>
                <c:pt idx="3">
                  <c:v>110</c:v>
                </c:pt>
                <c:pt idx="4">
                  <c:v>260</c:v>
                </c:pt>
                <c:pt idx="5">
                  <c:v>95</c:v>
                </c:pt>
                <c:pt idx="6">
                  <c:v>80</c:v>
                </c:pt>
                <c:pt idx="7">
                  <c:v>92</c:v>
                </c:pt>
                <c:pt idx="8">
                  <c:v>100</c:v>
                </c:pt>
                <c:pt idx="9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D8-433B-9434-4CFE30C18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129023"/>
        <c:axId val="612129503"/>
      </c:barChart>
      <c:catAx>
        <c:axId val="61212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129503"/>
        <c:crosses val="autoZero"/>
        <c:auto val="1"/>
        <c:lblAlgn val="ctr"/>
        <c:lblOffset val="100"/>
        <c:noMultiLvlLbl val="0"/>
      </c:catAx>
      <c:valAx>
        <c:axId val="61212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12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[SweetBite.xlsx]Sheet2!PivotTable5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Sheet2!$A$54:$A$64</c:f>
              <c:strCache>
                <c:ptCount val="10"/>
                <c:pt idx="0">
                  <c:v>Almond Crunch</c:v>
                </c:pt>
                <c:pt idx="1">
                  <c:v>Caramel Bite</c:v>
                </c:pt>
                <c:pt idx="2">
                  <c:v>Coffee Mocha</c:v>
                </c:pt>
                <c:pt idx="3">
                  <c:v>Dark Chocolate</c:v>
                </c:pt>
                <c:pt idx="4">
                  <c:v>Gift Box</c:v>
                </c:pt>
                <c:pt idx="5">
                  <c:v>Hazelnut Bar</c:v>
                </c:pt>
                <c:pt idx="6">
                  <c:v>Milk Chocolate</c:v>
                </c:pt>
                <c:pt idx="7">
                  <c:v>Mint Chocolate</c:v>
                </c:pt>
                <c:pt idx="8">
                  <c:v>Orange Zest</c:v>
                </c:pt>
                <c:pt idx="9">
                  <c:v>Strawberry Delight</c:v>
                </c:pt>
              </c:strCache>
            </c:strRef>
          </c:cat>
          <c:val>
            <c:numRef>
              <c:f>Sheet2!$B$54:$B$64</c:f>
              <c:numCache>
                <c:formatCode>General</c:formatCode>
                <c:ptCount val="10"/>
                <c:pt idx="0">
                  <c:v>98</c:v>
                </c:pt>
                <c:pt idx="1">
                  <c:v>85</c:v>
                </c:pt>
                <c:pt idx="2">
                  <c:v>110</c:v>
                </c:pt>
                <c:pt idx="3">
                  <c:v>100</c:v>
                </c:pt>
                <c:pt idx="4">
                  <c:v>245</c:v>
                </c:pt>
                <c:pt idx="5">
                  <c:v>90</c:v>
                </c:pt>
                <c:pt idx="6">
                  <c:v>75</c:v>
                </c:pt>
                <c:pt idx="7">
                  <c:v>88</c:v>
                </c:pt>
                <c:pt idx="8">
                  <c:v>94</c:v>
                </c:pt>
                <c:pt idx="9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3-4FF2-B1B7-E07173219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153023"/>
        <c:axId val="612146783"/>
      </c:barChart>
      <c:catAx>
        <c:axId val="61215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146783"/>
        <c:crosses val="autoZero"/>
        <c:auto val="1"/>
        <c:lblAlgn val="ctr"/>
        <c:lblOffset val="100"/>
        <c:noMultiLvlLbl val="0"/>
      </c:catAx>
      <c:valAx>
        <c:axId val="61214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15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[SweetBite.xlsx]Sheet2!PivotTable6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Sheet2!$A$69:$A$79</c:f>
              <c:strCache>
                <c:ptCount val="10"/>
                <c:pt idx="0">
                  <c:v>Almond Crunch</c:v>
                </c:pt>
                <c:pt idx="1">
                  <c:v>Caramel Bite</c:v>
                </c:pt>
                <c:pt idx="2">
                  <c:v>Coffee Mocha</c:v>
                </c:pt>
                <c:pt idx="3">
                  <c:v>Dark Chocolate</c:v>
                </c:pt>
                <c:pt idx="4">
                  <c:v>Gift Box</c:v>
                </c:pt>
                <c:pt idx="5">
                  <c:v>Hazelnut Bar</c:v>
                </c:pt>
                <c:pt idx="6">
                  <c:v>Milk Chocolate</c:v>
                </c:pt>
                <c:pt idx="7">
                  <c:v>Mint Chocolate</c:v>
                </c:pt>
                <c:pt idx="8">
                  <c:v>Orange Zest</c:v>
                </c:pt>
                <c:pt idx="9">
                  <c:v>Strawberry Delight</c:v>
                </c:pt>
              </c:strCache>
            </c:strRef>
          </c:cat>
          <c:val>
            <c:numRef>
              <c:f>Sheet2!$B$69:$B$79</c:f>
              <c:numCache>
                <c:formatCode>General</c:formatCode>
                <c:ptCount val="10"/>
                <c:pt idx="0">
                  <c:v>102.13333333333334</c:v>
                </c:pt>
                <c:pt idx="1">
                  <c:v>101.93333333333334</c:v>
                </c:pt>
                <c:pt idx="2">
                  <c:v>105.40909090909091</c:v>
                </c:pt>
                <c:pt idx="3">
                  <c:v>149.04347826086956</c:v>
                </c:pt>
                <c:pt idx="4">
                  <c:v>59</c:v>
                </c:pt>
                <c:pt idx="5">
                  <c:v>103.625</c:v>
                </c:pt>
                <c:pt idx="6">
                  <c:v>59.631578947368418</c:v>
                </c:pt>
                <c:pt idx="7">
                  <c:v>97.78947368421052</c:v>
                </c:pt>
                <c:pt idx="8">
                  <c:v>96.533333333333331</c:v>
                </c:pt>
                <c:pt idx="9">
                  <c:v>93.85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23-4048-AB66-92696DE4B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9427343"/>
        <c:axId val="2019428303"/>
      </c:barChart>
      <c:catAx>
        <c:axId val="201942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428303"/>
        <c:crosses val="autoZero"/>
        <c:auto val="1"/>
        <c:lblAlgn val="ctr"/>
        <c:lblOffset val="100"/>
        <c:noMultiLvlLbl val="0"/>
      </c:catAx>
      <c:valAx>
        <c:axId val="201942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42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[SweetBite.xlsx]Sheet2!PivotTable14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Sheet2!$B$99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Sheet2!$A$100:$A$110</c:f>
              <c:strCache>
                <c:ptCount val="10"/>
                <c:pt idx="0">
                  <c:v>Almond Crunch</c:v>
                </c:pt>
                <c:pt idx="1">
                  <c:v>Caramel Bite</c:v>
                </c:pt>
                <c:pt idx="2">
                  <c:v>Coffee Mocha</c:v>
                </c:pt>
                <c:pt idx="3">
                  <c:v>Dark Chocolate</c:v>
                </c:pt>
                <c:pt idx="4">
                  <c:v>Gift Box</c:v>
                </c:pt>
                <c:pt idx="5">
                  <c:v>Hazelnut Bar</c:v>
                </c:pt>
                <c:pt idx="6">
                  <c:v>Milk Chocolate</c:v>
                </c:pt>
                <c:pt idx="7">
                  <c:v>Mint Chocolate</c:v>
                </c:pt>
                <c:pt idx="8">
                  <c:v>Orange Zest</c:v>
                </c:pt>
                <c:pt idx="9">
                  <c:v>Strawberry Delight</c:v>
                </c:pt>
              </c:strCache>
            </c:strRef>
          </c:cat>
          <c:val>
            <c:numRef>
              <c:f>Sheet2!$B$100:$B$110</c:f>
              <c:numCache>
                <c:formatCode>General</c:formatCode>
                <c:ptCount val="10"/>
                <c:pt idx="0">
                  <c:v>81.266666666666666</c:v>
                </c:pt>
                <c:pt idx="1">
                  <c:v>80.400000000000006</c:v>
                </c:pt>
                <c:pt idx="2">
                  <c:v>83.13636363636364</c:v>
                </c:pt>
                <c:pt idx="3">
                  <c:v>142.95652173913044</c:v>
                </c:pt>
                <c:pt idx="4">
                  <c:v>49.0625</c:v>
                </c:pt>
                <c:pt idx="5">
                  <c:v>83.6875</c:v>
                </c:pt>
                <c:pt idx="6">
                  <c:v>13.157894736842104</c:v>
                </c:pt>
                <c:pt idx="7">
                  <c:v>73.84210526315789</c:v>
                </c:pt>
                <c:pt idx="8">
                  <c:v>70.266666666666666</c:v>
                </c:pt>
                <c:pt idx="9">
                  <c:v>67.7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0-4D56-9B61-6C98C1510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5966703"/>
        <c:axId val="625964783"/>
      </c:barChart>
      <c:catAx>
        <c:axId val="62596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964783"/>
        <c:crosses val="autoZero"/>
        <c:auto val="1"/>
        <c:lblAlgn val="ctr"/>
        <c:lblOffset val="100"/>
        <c:noMultiLvlLbl val="0"/>
      </c:catAx>
      <c:valAx>
        <c:axId val="62596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96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[SweetBite.xlsx]Sheet2!PivotTable16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Sheet2!$A$132:$A$142</c:f>
              <c:strCache>
                <c:ptCount val="10"/>
                <c:pt idx="0">
                  <c:v>Almond Crunch</c:v>
                </c:pt>
                <c:pt idx="1">
                  <c:v>Caramel Bite</c:v>
                </c:pt>
                <c:pt idx="2">
                  <c:v>Coffee Mocha</c:v>
                </c:pt>
                <c:pt idx="3">
                  <c:v>Dark Chocolate</c:v>
                </c:pt>
                <c:pt idx="4">
                  <c:v>Gift Box</c:v>
                </c:pt>
                <c:pt idx="5">
                  <c:v>Hazelnut Bar</c:v>
                </c:pt>
                <c:pt idx="6">
                  <c:v>Milk Chocolate</c:v>
                </c:pt>
                <c:pt idx="7">
                  <c:v>Mint Chocolate</c:v>
                </c:pt>
                <c:pt idx="8">
                  <c:v>Orange Zest</c:v>
                </c:pt>
                <c:pt idx="9">
                  <c:v>Strawberry Delight</c:v>
                </c:pt>
              </c:strCache>
            </c:strRef>
          </c:cat>
          <c:val>
            <c:numRef>
              <c:f>Sheet2!$B$132:$B$142</c:f>
              <c:numCache>
                <c:formatCode>General</c:formatCode>
                <c:ptCount val="10"/>
                <c:pt idx="0">
                  <c:v>30674</c:v>
                </c:pt>
                <c:pt idx="1">
                  <c:v>27455</c:v>
                </c:pt>
                <c:pt idx="2">
                  <c:v>53900</c:v>
                </c:pt>
                <c:pt idx="3">
                  <c:v>14000</c:v>
                </c:pt>
                <c:pt idx="4">
                  <c:v>38955</c:v>
                </c:pt>
                <c:pt idx="5">
                  <c:v>28710</c:v>
                </c:pt>
                <c:pt idx="6">
                  <c:v>67800</c:v>
                </c:pt>
                <c:pt idx="7">
                  <c:v>40040</c:v>
                </c:pt>
                <c:pt idx="8">
                  <c:v>37036</c:v>
                </c:pt>
                <c:pt idx="9">
                  <c:v>58576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9-4F26-AF1E-ED1616FA6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0711583"/>
        <c:axId val="1030712543"/>
      </c:barChart>
      <c:catAx>
        <c:axId val="103071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712543"/>
        <c:crosses val="autoZero"/>
        <c:auto val="1"/>
        <c:lblAlgn val="ctr"/>
        <c:lblOffset val="100"/>
        <c:noMultiLvlLbl val="0"/>
      </c:catAx>
      <c:valAx>
        <c:axId val="103071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71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171450</xdr:rowOff>
    </xdr:from>
    <xdr:to>
      <xdr:col>6</xdr:col>
      <xdr:colOff>1310640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003BEF-A0A0-B3BF-FDB4-44A0FB49F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1699260</xdr:colOff>
      <xdr:row>17</xdr:row>
      <xdr:rowOff>3810</xdr:rowOff>
    </xdr:from>
    <xdr:to>
      <xdr:col>7</xdr:col>
      <xdr:colOff>0</xdr:colOff>
      <xdr:row>32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411DB9-C25A-49D0-7064-B9C2020F70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33</xdr:row>
      <xdr:rowOff>3810</xdr:rowOff>
    </xdr:from>
    <xdr:to>
      <xdr:col>7</xdr:col>
      <xdr:colOff>0</xdr:colOff>
      <xdr:row>48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F72843-B5FA-5CAB-0E41-C9AF5C8FB2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50</xdr:row>
      <xdr:rowOff>3810</xdr:rowOff>
    </xdr:from>
    <xdr:to>
      <xdr:col>6</xdr:col>
      <xdr:colOff>1303020</xdr:colOff>
      <xdr:row>65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485FE2-9679-CED2-31B3-EA8347B929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7620</xdr:colOff>
      <xdr:row>66</xdr:row>
      <xdr:rowOff>171450</xdr:rowOff>
    </xdr:from>
    <xdr:to>
      <xdr:col>6</xdr:col>
      <xdr:colOff>1310640</xdr:colOff>
      <xdr:row>81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207DFFE-ED5E-D9FA-C7A5-D4AB4833C3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655320</xdr:colOff>
      <xdr:row>97</xdr:row>
      <xdr:rowOff>7620</xdr:rowOff>
    </xdr:from>
    <xdr:to>
      <xdr:col>6</xdr:col>
      <xdr:colOff>15240</xdr:colOff>
      <xdr:row>111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E2CAAA0-287F-ADBD-2576-2B070611E6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670560</xdr:colOff>
      <xdr:row>128</xdr:row>
      <xdr:rowOff>179070</xdr:rowOff>
    </xdr:from>
    <xdr:to>
      <xdr:col>6</xdr:col>
      <xdr:colOff>0</xdr:colOff>
      <xdr:row>143</xdr:row>
      <xdr:rowOff>179070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AE8B22D-C7C5-97BC-804F-AB0BCB1FB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al Jaiswal" refreshedDate="46221.959433680553" createdVersion="8" refreshedVersion="8" minRefreshableVersion="3" recordCount="180" xr:uid="{2A7C61EC-4E20-4772-AC9C-11A8583541E9}">
  <cacheSource type="worksheet">
    <worksheetSource ref="A1:M181" sheet="Sales_Data"/>
  </cacheSource>
  <cacheFields count="13">
    <cacheField name="Invoice_ID" numFmtId="0">
      <sharedItems/>
    </cacheField>
    <cacheField name="Date" numFmtId="164">
      <sharedItems containsSemiMixedTypes="0" containsNonDate="0" containsDate="1" containsString="0" minDate="2026-01-01T00:00:00" maxDate="2026-07-01T00:00:00"/>
    </cacheField>
    <cacheField name="SKU" numFmtId="0">
      <sharedItems/>
    </cacheField>
    <cacheField name="Product" numFmtId="0">
      <sharedItems count="10">
        <s v="Hazelnut Bar"/>
        <s v="Dark Chocolate"/>
        <s v="Strawberry Delight"/>
        <s v="Milk Chocolate"/>
        <s v="Almond Crunch"/>
        <s v="Orange Zest"/>
        <s v="Gift Box"/>
        <s v="Coffee Mocha"/>
        <s v="Mint Chocolate"/>
        <s v="Caramel Bite"/>
      </sharedItems>
    </cacheField>
    <cacheField name="City" numFmtId="0">
      <sharedItems/>
    </cacheField>
    <cacheField name="Customer_Type" numFmtId="0">
      <sharedItems/>
    </cacheField>
    <cacheField name="Quantity_Sold" numFmtId="0">
      <sharedItems containsSemiMixedTypes="0" containsString="0" containsNumber="1" containsInteger="1" minValue="2" maxValue="60"/>
    </cacheField>
    <cacheField name="Manufacturing_Cost" numFmtId="0">
      <sharedItems containsSemiMixedTypes="0" containsString="0" containsNumber="1" containsInteger="1" minValue="40" maxValue="140"/>
    </cacheField>
    <cacheField name="MRP" numFmtId="0">
      <sharedItems containsSemiMixedTypes="0" containsString="0" containsNumber="1" containsInteger="1" minValue="80" maxValue="260"/>
    </cacheField>
    <cacheField name="Selling_Price" numFmtId="0">
      <sharedItems containsSemiMixedTypes="0" containsString="0" containsNumber="1" containsInteger="1" minValue="75" maxValue="245"/>
    </cacheField>
    <cacheField name="Opening_Stock" numFmtId="0">
      <sharedItems containsSemiMixedTypes="0" containsString="0" containsNumber="1" containsInteger="1" minValue="40" maxValue="180"/>
    </cacheField>
    <cacheField name="Closing_Stock" numFmtId="0">
      <sharedItems containsSemiMixedTypes="0" containsString="0" containsNumber="1" containsInteger="1" minValue="0" maxValue="177"/>
    </cacheField>
    <cacheField name="Revenue" numFmtId="0">
      <sharedItems containsSemiMixedTypes="0" containsString="0" containsNumber="1" containsInteger="1" minValue="300" maxValue="4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s v="INV1000"/>
    <d v="2026-05-12T00:00:00"/>
    <s v="SB003"/>
    <x v="0"/>
    <s v="Delhi"/>
    <s v="Wholesale"/>
    <n v="5"/>
    <n v="48"/>
    <n v="95"/>
    <n v="90"/>
    <n v="107"/>
    <n v="102"/>
    <n v="450"/>
  </r>
  <r>
    <s v="INV1001"/>
    <d v="2026-01-07T00:00:00"/>
    <s v="SB002"/>
    <x v="1"/>
    <s v="Pune"/>
    <s v="Wholesale"/>
    <n v="9"/>
    <n v="55"/>
    <n v="110"/>
    <n v="100"/>
    <n v="138"/>
    <n v="129"/>
    <n v="900"/>
  </r>
  <r>
    <s v="INV1002"/>
    <d v="2026-01-24T00:00:00"/>
    <s v="SB005"/>
    <x v="2"/>
    <s v="Mumbai"/>
    <s v="Retail"/>
    <n v="31"/>
    <n v="60"/>
    <n v="120"/>
    <n v="112"/>
    <n v="100"/>
    <n v="69"/>
    <n v="3472"/>
  </r>
  <r>
    <s v="INV1003"/>
    <d v="2026-03-02T00:00:00"/>
    <s v="SB001"/>
    <x v="3"/>
    <s v="Bengaluru"/>
    <s v="Retail"/>
    <n v="46"/>
    <n v="40"/>
    <n v="80"/>
    <n v="75"/>
    <n v="55"/>
    <n v="9"/>
    <n v="3450"/>
  </r>
  <r>
    <s v="INV1004"/>
    <d v="2026-02-01T00:00:00"/>
    <s v="SB004"/>
    <x v="4"/>
    <s v="Mumbai"/>
    <s v="Retail"/>
    <n v="18"/>
    <n v="52"/>
    <n v="105"/>
    <n v="98"/>
    <n v="87"/>
    <n v="69"/>
    <n v="1764"/>
  </r>
  <r>
    <s v="INV1005"/>
    <d v="2026-02-15T00:00:00"/>
    <s v="SB001"/>
    <x v="3"/>
    <s v="Pune"/>
    <s v="Wholesale"/>
    <n v="49"/>
    <n v="40"/>
    <n v="80"/>
    <n v="75"/>
    <n v="59"/>
    <n v="10"/>
    <n v="3675"/>
  </r>
  <r>
    <s v="INV1006"/>
    <d v="2026-02-03T00:00:00"/>
    <s v="SB001"/>
    <x v="3"/>
    <s v="Mumbai"/>
    <s v="Wholesale"/>
    <n v="37"/>
    <n v="40"/>
    <n v="80"/>
    <n v="75"/>
    <n v="56"/>
    <n v="19"/>
    <n v="2775"/>
  </r>
  <r>
    <s v="INV1007"/>
    <d v="2026-05-08T00:00:00"/>
    <s v="SB008"/>
    <x v="5"/>
    <s v="Delhi"/>
    <s v="Retail"/>
    <n v="30"/>
    <n v="50"/>
    <n v="100"/>
    <n v="94"/>
    <n v="122"/>
    <n v="92"/>
    <n v="2820"/>
  </r>
  <r>
    <s v="INV1008"/>
    <d v="2026-04-13T00:00:00"/>
    <s v="SB010"/>
    <x v="6"/>
    <s v="Delhi"/>
    <s v="Wholesale"/>
    <n v="13"/>
    <n v="140"/>
    <n v="260"/>
    <n v="245"/>
    <n v="69"/>
    <n v="56"/>
    <n v="3185"/>
  </r>
  <r>
    <s v="INV1009"/>
    <d v="2026-01-18T00:00:00"/>
    <s v="SB009"/>
    <x v="7"/>
    <s v="Pune"/>
    <s v="Retail"/>
    <n v="32"/>
    <n v="58"/>
    <n v="118"/>
    <n v="110"/>
    <n v="100"/>
    <n v="68"/>
    <n v="3520"/>
  </r>
  <r>
    <s v="INV1010"/>
    <d v="2026-06-11T00:00:00"/>
    <s v="SB008"/>
    <x v="5"/>
    <s v="Pune"/>
    <s v="Wholesale"/>
    <n v="20"/>
    <n v="50"/>
    <n v="100"/>
    <n v="94"/>
    <n v="73"/>
    <n v="53"/>
    <n v="1880"/>
  </r>
  <r>
    <s v="INV1011"/>
    <d v="2026-06-20T00:00:00"/>
    <s v="SB009"/>
    <x v="7"/>
    <s v="Pune"/>
    <s v="Retail"/>
    <n v="13"/>
    <n v="58"/>
    <n v="118"/>
    <n v="110"/>
    <n v="60"/>
    <n v="47"/>
    <n v="1430"/>
  </r>
  <r>
    <s v="INV1012"/>
    <d v="2026-04-11T00:00:00"/>
    <s v="SB004"/>
    <x v="4"/>
    <s v="Pune"/>
    <s v="Wholesale"/>
    <n v="12"/>
    <n v="52"/>
    <n v="105"/>
    <n v="98"/>
    <n v="122"/>
    <n v="110"/>
    <n v="1176"/>
  </r>
  <r>
    <s v="INV1013"/>
    <d v="2026-05-26T00:00:00"/>
    <s v="SB004"/>
    <x v="4"/>
    <s v="Pune"/>
    <s v="Wholesale"/>
    <n v="28"/>
    <n v="52"/>
    <n v="105"/>
    <n v="98"/>
    <n v="126"/>
    <n v="98"/>
    <n v="2744"/>
  </r>
  <r>
    <s v="INV1014"/>
    <d v="2026-05-27T00:00:00"/>
    <s v="SB002"/>
    <x v="1"/>
    <s v="Pune"/>
    <s v="Retail"/>
    <n v="5"/>
    <n v="55"/>
    <n v="110"/>
    <n v="100"/>
    <n v="135"/>
    <n v="130"/>
    <n v="500"/>
  </r>
  <r>
    <s v="INV1015"/>
    <d v="2026-04-23T00:00:00"/>
    <s v="SB010"/>
    <x v="6"/>
    <s v="Bengaluru"/>
    <s v="Retail"/>
    <n v="14"/>
    <n v="140"/>
    <n v="260"/>
    <n v="245"/>
    <n v="63"/>
    <n v="49"/>
    <n v="3430"/>
  </r>
  <r>
    <s v="INV1016"/>
    <d v="2026-05-10T00:00:00"/>
    <s v="SB008"/>
    <x v="5"/>
    <s v="Delhi"/>
    <s v="Retail"/>
    <n v="17"/>
    <n v="50"/>
    <n v="100"/>
    <n v="94"/>
    <n v="76"/>
    <n v="59"/>
    <n v="1598"/>
  </r>
  <r>
    <s v="INV1017"/>
    <d v="2026-02-05T00:00:00"/>
    <s v="SB004"/>
    <x v="4"/>
    <s v="Delhi"/>
    <s v="Wholesale"/>
    <n v="17"/>
    <n v="52"/>
    <n v="105"/>
    <n v="98"/>
    <n v="63"/>
    <n v="46"/>
    <n v="1666"/>
  </r>
  <r>
    <s v="INV1018"/>
    <d v="2026-02-06T00:00:00"/>
    <s v="SB002"/>
    <x v="1"/>
    <s v="Bengaluru"/>
    <s v="Retail"/>
    <n v="3"/>
    <n v="55"/>
    <n v="110"/>
    <n v="100"/>
    <n v="138"/>
    <n v="135"/>
    <n v="300"/>
  </r>
  <r>
    <s v="INV1019"/>
    <d v="2026-06-01T00:00:00"/>
    <s v="SB003"/>
    <x v="0"/>
    <s v="Mumbai"/>
    <s v="Wholesale"/>
    <n v="11"/>
    <n v="48"/>
    <n v="95"/>
    <n v="90"/>
    <n v="134"/>
    <n v="123"/>
    <n v="990"/>
  </r>
  <r>
    <s v="INV1020"/>
    <d v="2026-02-23T00:00:00"/>
    <s v="SB007"/>
    <x v="8"/>
    <s v="Mumbai"/>
    <s v="Wholesale"/>
    <n v="37"/>
    <n v="46"/>
    <n v="92"/>
    <n v="88"/>
    <n v="74"/>
    <n v="37"/>
    <n v="3256"/>
  </r>
  <r>
    <s v="INV1021"/>
    <d v="2026-01-13T00:00:00"/>
    <s v="SB009"/>
    <x v="7"/>
    <s v="Bengaluru"/>
    <s v="Retail"/>
    <n v="5"/>
    <n v="58"/>
    <n v="118"/>
    <n v="110"/>
    <n v="133"/>
    <n v="128"/>
    <n v="550"/>
  </r>
  <r>
    <s v="INV1022"/>
    <d v="2026-04-15T00:00:00"/>
    <s v="SB004"/>
    <x v="4"/>
    <s v="Pune"/>
    <s v="Retail"/>
    <n v="9"/>
    <n v="52"/>
    <n v="105"/>
    <n v="98"/>
    <n v="98"/>
    <n v="89"/>
    <n v="882"/>
  </r>
  <r>
    <s v="INV1023"/>
    <d v="2026-03-17T00:00:00"/>
    <s v="SB009"/>
    <x v="7"/>
    <s v="Delhi"/>
    <s v="Wholesale"/>
    <n v="21"/>
    <n v="58"/>
    <n v="118"/>
    <n v="110"/>
    <n v="87"/>
    <n v="66"/>
    <n v="2310"/>
  </r>
  <r>
    <s v="INV1024"/>
    <d v="2026-04-18T00:00:00"/>
    <s v="SB003"/>
    <x v="0"/>
    <s v="Bengaluru"/>
    <s v="Retail"/>
    <n v="24"/>
    <n v="48"/>
    <n v="95"/>
    <n v="90"/>
    <n v="91"/>
    <n v="67"/>
    <n v="2160"/>
  </r>
  <r>
    <s v="INV1025"/>
    <d v="2026-03-26T00:00:00"/>
    <s v="SB005"/>
    <x v="2"/>
    <s v="Mumbai"/>
    <s v="Retail"/>
    <n v="39"/>
    <n v="60"/>
    <n v="120"/>
    <n v="112"/>
    <n v="99"/>
    <n v="60"/>
    <n v="4368"/>
  </r>
  <r>
    <s v="INV1026"/>
    <d v="2026-06-16T00:00:00"/>
    <s v="SB005"/>
    <x v="2"/>
    <s v="Delhi"/>
    <s v="Wholesale"/>
    <n v="11"/>
    <n v="60"/>
    <n v="120"/>
    <n v="112"/>
    <n v="111"/>
    <n v="100"/>
    <n v="1232"/>
  </r>
  <r>
    <s v="INV1027"/>
    <d v="2026-05-11T00:00:00"/>
    <s v="SB002"/>
    <x v="1"/>
    <s v="Mumbai"/>
    <s v="Wholesale"/>
    <n v="3"/>
    <n v="55"/>
    <n v="110"/>
    <n v="100"/>
    <n v="180"/>
    <n v="177"/>
    <n v="300"/>
  </r>
  <r>
    <s v="INV1028"/>
    <d v="2026-02-23T00:00:00"/>
    <s v="SB002"/>
    <x v="1"/>
    <s v="Kolkata"/>
    <s v="Wholesale"/>
    <n v="7"/>
    <n v="55"/>
    <n v="110"/>
    <n v="100"/>
    <n v="169"/>
    <n v="162"/>
    <n v="700"/>
  </r>
  <r>
    <s v="INV1029"/>
    <d v="2026-05-04T00:00:00"/>
    <s v="SB005"/>
    <x v="2"/>
    <s v="Pune"/>
    <s v="Wholesale"/>
    <n v="36"/>
    <n v="60"/>
    <n v="120"/>
    <n v="112"/>
    <n v="71"/>
    <n v="35"/>
    <n v="4032"/>
  </r>
  <r>
    <s v="INV1030"/>
    <d v="2026-02-12T00:00:00"/>
    <s v="SB008"/>
    <x v="5"/>
    <s v="Delhi"/>
    <s v="Retail"/>
    <n v="37"/>
    <n v="50"/>
    <n v="100"/>
    <n v="94"/>
    <n v="100"/>
    <n v="63"/>
    <n v="3478"/>
  </r>
  <r>
    <s v="INV1031"/>
    <d v="2026-04-11T00:00:00"/>
    <s v="SB002"/>
    <x v="1"/>
    <s v="Mumbai"/>
    <s v="Wholesale"/>
    <n v="9"/>
    <n v="55"/>
    <n v="110"/>
    <n v="100"/>
    <n v="124"/>
    <n v="115"/>
    <n v="900"/>
  </r>
  <r>
    <s v="INV1032"/>
    <d v="2026-05-21T00:00:00"/>
    <s v="SB010"/>
    <x v="6"/>
    <s v="Bengaluru"/>
    <s v="Retail"/>
    <n v="2"/>
    <n v="140"/>
    <n v="260"/>
    <n v="245"/>
    <n v="49"/>
    <n v="47"/>
    <n v="490"/>
  </r>
  <r>
    <s v="INV1033"/>
    <d v="2026-03-08T00:00:00"/>
    <s v="SB002"/>
    <x v="1"/>
    <s v="Delhi"/>
    <s v="Retail"/>
    <n v="7"/>
    <n v="55"/>
    <n v="110"/>
    <n v="100"/>
    <n v="175"/>
    <n v="168"/>
    <n v="700"/>
  </r>
  <r>
    <s v="INV1034"/>
    <d v="2026-06-15T00:00:00"/>
    <s v="SB007"/>
    <x v="8"/>
    <s v="Pune"/>
    <s v="Retail"/>
    <n v="23"/>
    <n v="46"/>
    <n v="92"/>
    <n v="88"/>
    <n v="108"/>
    <n v="85"/>
    <n v="2024"/>
  </r>
  <r>
    <s v="INV1035"/>
    <d v="2026-04-17T00:00:00"/>
    <s v="SB002"/>
    <x v="1"/>
    <s v="Kolkata"/>
    <s v="Retail"/>
    <n v="8"/>
    <n v="55"/>
    <n v="110"/>
    <n v="100"/>
    <n v="135"/>
    <n v="127"/>
    <n v="800"/>
  </r>
  <r>
    <s v="INV1036"/>
    <d v="2026-06-06T00:00:00"/>
    <s v="SB003"/>
    <x v="0"/>
    <s v="Pune"/>
    <s v="Retail"/>
    <n v="19"/>
    <n v="48"/>
    <n v="95"/>
    <n v="90"/>
    <n v="70"/>
    <n v="51"/>
    <n v="1710"/>
  </r>
  <r>
    <s v="INV1037"/>
    <d v="2026-04-16T00:00:00"/>
    <s v="SB009"/>
    <x v="7"/>
    <s v="Kolkata"/>
    <s v="Retail"/>
    <n v="16"/>
    <n v="58"/>
    <n v="118"/>
    <n v="110"/>
    <n v="126"/>
    <n v="110"/>
    <n v="1760"/>
  </r>
  <r>
    <s v="INV1038"/>
    <d v="2026-04-20T00:00:00"/>
    <s v="SB002"/>
    <x v="1"/>
    <s v="Delhi"/>
    <s v="Wholesale"/>
    <n v="7"/>
    <n v="55"/>
    <n v="110"/>
    <n v="100"/>
    <n v="147"/>
    <n v="140"/>
    <n v="700"/>
  </r>
  <r>
    <s v="INV1039"/>
    <d v="2026-03-07T00:00:00"/>
    <s v="SB005"/>
    <x v="2"/>
    <s v="Bengaluru"/>
    <s v="Retail"/>
    <n v="30"/>
    <n v="60"/>
    <n v="120"/>
    <n v="112"/>
    <n v="127"/>
    <n v="97"/>
    <n v="3360"/>
  </r>
  <r>
    <s v="INV1040"/>
    <d v="2026-04-03T00:00:00"/>
    <s v="SB010"/>
    <x v="6"/>
    <s v="Mumbai"/>
    <s v="Retail"/>
    <n v="13"/>
    <n v="140"/>
    <n v="260"/>
    <n v="245"/>
    <n v="40"/>
    <n v="27"/>
    <n v="3185"/>
  </r>
  <r>
    <s v="INV1041"/>
    <d v="2026-01-07T00:00:00"/>
    <s v="SB006"/>
    <x v="9"/>
    <s v="Mumbai"/>
    <s v="Retail"/>
    <n v="31"/>
    <n v="45"/>
    <n v="90"/>
    <n v="85"/>
    <n v="65"/>
    <n v="34"/>
    <n v="2635"/>
  </r>
  <r>
    <s v="INV1042"/>
    <d v="2026-06-17T00:00:00"/>
    <s v="SB003"/>
    <x v="0"/>
    <s v="Delhi"/>
    <s v="Retail"/>
    <n v="29"/>
    <n v="48"/>
    <n v="95"/>
    <n v="90"/>
    <n v="80"/>
    <n v="51"/>
    <n v="2610"/>
  </r>
  <r>
    <s v="INV1043"/>
    <d v="2026-02-23T00:00:00"/>
    <s v="SB007"/>
    <x v="8"/>
    <s v="Bengaluru"/>
    <s v="Wholesale"/>
    <n v="35"/>
    <n v="46"/>
    <n v="92"/>
    <n v="88"/>
    <n v="64"/>
    <n v="29"/>
    <n v="3080"/>
  </r>
  <r>
    <s v="INV1044"/>
    <d v="2026-02-25T00:00:00"/>
    <s v="SB006"/>
    <x v="9"/>
    <s v="Delhi"/>
    <s v="Retail"/>
    <n v="33"/>
    <n v="45"/>
    <n v="90"/>
    <n v="85"/>
    <n v="120"/>
    <n v="87"/>
    <n v="2805"/>
  </r>
  <r>
    <s v="INV1045"/>
    <d v="2026-05-05T00:00:00"/>
    <s v="SB005"/>
    <x v="2"/>
    <s v="Delhi"/>
    <s v="Wholesale"/>
    <n v="36"/>
    <n v="60"/>
    <n v="120"/>
    <n v="112"/>
    <n v="130"/>
    <n v="94"/>
    <n v="4032"/>
  </r>
  <r>
    <s v="INV1046"/>
    <d v="2026-06-23T00:00:00"/>
    <s v="SB004"/>
    <x v="4"/>
    <s v="Pune"/>
    <s v="Wholesale"/>
    <n v="25"/>
    <n v="52"/>
    <n v="105"/>
    <n v="98"/>
    <n v="118"/>
    <n v="93"/>
    <n v="2450"/>
  </r>
  <r>
    <s v="INV1047"/>
    <d v="2026-04-04T00:00:00"/>
    <s v="SB002"/>
    <x v="1"/>
    <s v="Delhi"/>
    <s v="Wholesale"/>
    <n v="4"/>
    <n v="55"/>
    <n v="110"/>
    <n v="100"/>
    <n v="171"/>
    <n v="167"/>
    <n v="400"/>
  </r>
  <r>
    <s v="INV1048"/>
    <d v="2026-04-17T00:00:00"/>
    <s v="SB005"/>
    <x v="2"/>
    <s v="Pune"/>
    <s v="Wholesale"/>
    <n v="22"/>
    <n v="60"/>
    <n v="120"/>
    <n v="112"/>
    <n v="121"/>
    <n v="99"/>
    <n v="2464"/>
  </r>
  <r>
    <s v="INV1049"/>
    <d v="2026-06-01T00:00:00"/>
    <s v="SB002"/>
    <x v="1"/>
    <s v="Bengaluru"/>
    <s v="Retail"/>
    <n v="5"/>
    <n v="55"/>
    <n v="110"/>
    <n v="100"/>
    <n v="169"/>
    <n v="164"/>
    <n v="500"/>
  </r>
  <r>
    <s v="INV1050"/>
    <d v="2026-02-16T00:00:00"/>
    <s v="SB002"/>
    <x v="1"/>
    <s v="Bengaluru"/>
    <s v="Retail"/>
    <n v="6"/>
    <n v="55"/>
    <n v="110"/>
    <n v="100"/>
    <n v="142"/>
    <n v="136"/>
    <n v="600"/>
  </r>
  <r>
    <s v="INV1051"/>
    <d v="2026-01-10T00:00:00"/>
    <s v="SB006"/>
    <x v="9"/>
    <s v="Delhi"/>
    <s v="Wholesale"/>
    <n v="15"/>
    <n v="45"/>
    <n v="90"/>
    <n v="85"/>
    <n v="114"/>
    <n v="99"/>
    <n v="1275"/>
  </r>
  <r>
    <s v="INV1052"/>
    <d v="2026-01-03T00:00:00"/>
    <s v="SB001"/>
    <x v="3"/>
    <s v="Kolkata"/>
    <s v="Wholesale"/>
    <n v="51"/>
    <n v="40"/>
    <n v="80"/>
    <n v="75"/>
    <n v="80"/>
    <n v="29"/>
    <n v="3825"/>
  </r>
  <r>
    <s v="INV1053"/>
    <d v="2026-02-06T00:00:00"/>
    <s v="SB008"/>
    <x v="5"/>
    <s v="Delhi"/>
    <s v="Retail"/>
    <n v="30"/>
    <n v="50"/>
    <n v="100"/>
    <n v="94"/>
    <n v="106"/>
    <n v="76"/>
    <n v="2820"/>
  </r>
  <r>
    <s v="INV1054"/>
    <d v="2026-06-04T00:00:00"/>
    <s v="SB010"/>
    <x v="6"/>
    <s v="Delhi"/>
    <s v="Wholesale"/>
    <n v="11"/>
    <n v="140"/>
    <n v="260"/>
    <n v="245"/>
    <n v="53"/>
    <n v="42"/>
    <n v="2695"/>
  </r>
  <r>
    <s v="INV1055"/>
    <d v="2026-02-24T00:00:00"/>
    <s v="SB010"/>
    <x v="6"/>
    <s v="Mumbai"/>
    <s v="Wholesale"/>
    <n v="7"/>
    <n v="140"/>
    <n v="260"/>
    <n v="245"/>
    <n v="65"/>
    <n v="58"/>
    <n v="1715"/>
  </r>
  <r>
    <s v="INV1056"/>
    <d v="2026-05-06T00:00:00"/>
    <s v="SB001"/>
    <x v="3"/>
    <s v="Bengaluru"/>
    <s v="Wholesale"/>
    <n v="49"/>
    <n v="40"/>
    <n v="80"/>
    <n v="75"/>
    <n v="66"/>
    <n v="17"/>
    <n v="3675"/>
  </r>
  <r>
    <s v="INV1057"/>
    <d v="2026-01-08T00:00:00"/>
    <s v="SB009"/>
    <x v="7"/>
    <s v="Bengaluru"/>
    <s v="Wholesale"/>
    <n v="30"/>
    <n v="58"/>
    <n v="118"/>
    <n v="110"/>
    <n v="110"/>
    <n v="80"/>
    <n v="3300"/>
  </r>
  <r>
    <s v="INV1058"/>
    <d v="2026-01-30T00:00:00"/>
    <s v="SB007"/>
    <x v="8"/>
    <s v="Pune"/>
    <s v="Wholesale"/>
    <n v="15"/>
    <n v="46"/>
    <n v="92"/>
    <n v="88"/>
    <n v="85"/>
    <n v="70"/>
    <n v="1320"/>
  </r>
  <r>
    <s v="INV1059"/>
    <d v="2026-06-03T00:00:00"/>
    <s v="SB003"/>
    <x v="0"/>
    <s v="Kolkata"/>
    <s v="Wholesale"/>
    <n v="29"/>
    <n v="48"/>
    <n v="95"/>
    <n v="90"/>
    <n v="60"/>
    <n v="31"/>
    <n v="2610"/>
  </r>
  <r>
    <s v="INV1060"/>
    <d v="2026-04-16T00:00:00"/>
    <s v="SB004"/>
    <x v="4"/>
    <s v="Bengaluru"/>
    <s v="Wholesale"/>
    <n v="23"/>
    <n v="52"/>
    <n v="105"/>
    <n v="98"/>
    <n v="103"/>
    <n v="80"/>
    <n v="2254"/>
  </r>
  <r>
    <s v="INV1061"/>
    <d v="2026-01-20T00:00:00"/>
    <s v="SB002"/>
    <x v="1"/>
    <s v="Delhi"/>
    <s v="Retail"/>
    <n v="5"/>
    <n v="55"/>
    <n v="110"/>
    <n v="100"/>
    <n v="158"/>
    <n v="153"/>
    <n v="500"/>
  </r>
  <r>
    <s v="INV1062"/>
    <d v="2026-05-06T00:00:00"/>
    <s v="SB002"/>
    <x v="1"/>
    <s v="Delhi"/>
    <s v="Wholesale"/>
    <n v="5"/>
    <n v="55"/>
    <n v="110"/>
    <n v="100"/>
    <n v="134"/>
    <n v="129"/>
    <n v="500"/>
  </r>
  <r>
    <s v="INV1063"/>
    <d v="2026-01-09T00:00:00"/>
    <s v="SB007"/>
    <x v="8"/>
    <s v="Kolkata"/>
    <s v="Wholesale"/>
    <n v="26"/>
    <n v="46"/>
    <n v="92"/>
    <n v="88"/>
    <n v="99"/>
    <n v="73"/>
    <n v="2288"/>
  </r>
  <r>
    <s v="INV1064"/>
    <d v="2026-05-31T00:00:00"/>
    <s v="SB010"/>
    <x v="6"/>
    <s v="Delhi"/>
    <s v="Wholesale"/>
    <n v="10"/>
    <n v="140"/>
    <n v="260"/>
    <n v="245"/>
    <n v="86"/>
    <n v="76"/>
    <n v="2450"/>
  </r>
  <r>
    <s v="INV1065"/>
    <d v="2026-03-01T00:00:00"/>
    <s v="SB003"/>
    <x v="0"/>
    <s v="Pune"/>
    <s v="Retail"/>
    <n v="19"/>
    <n v="48"/>
    <n v="95"/>
    <n v="90"/>
    <n v="105"/>
    <n v="86"/>
    <n v="1710"/>
  </r>
  <r>
    <s v="INV1066"/>
    <d v="2026-06-05T00:00:00"/>
    <s v="SB008"/>
    <x v="5"/>
    <s v="Bengaluru"/>
    <s v="Wholesale"/>
    <n v="27"/>
    <n v="50"/>
    <n v="100"/>
    <n v="94"/>
    <n v="97"/>
    <n v="70"/>
    <n v="2538"/>
  </r>
  <r>
    <s v="INV1067"/>
    <d v="2026-03-16T00:00:00"/>
    <s v="SB006"/>
    <x v="9"/>
    <s v="Bengaluru"/>
    <s v="Retail"/>
    <n v="5"/>
    <n v="45"/>
    <n v="90"/>
    <n v="85"/>
    <n v="97"/>
    <n v="92"/>
    <n v="425"/>
  </r>
  <r>
    <s v="INV1068"/>
    <d v="2026-01-23T00:00:00"/>
    <s v="SB007"/>
    <x v="8"/>
    <s v="Pune"/>
    <s v="Wholesale"/>
    <n v="20"/>
    <n v="46"/>
    <n v="92"/>
    <n v="88"/>
    <n v="87"/>
    <n v="67"/>
    <n v="1760"/>
  </r>
  <r>
    <s v="INV1069"/>
    <d v="2026-05-26T00:00:00"/>
    <s v="SB005"/>
    <x v="2"/>
    <s v="Delhi"/>
    <s v="Wholesale"/>
    <n v="19"/>
    <n v="60"/>
    <n v="120"/>
    <n v="112"/>
    <n v="68"/>
    <n v="49"/>
    <n v="2128"/>
  </r>
  <r>
    <s v="INV1070"/>
    <d v="2026-05-26T00:00:00"/>
    <s v="SB002"/>
    <x v="1"/>
    <s v="Bengaluru"/>
    <s v="Wholesale"/>
    <n v="3"/>
    <n v="55"/>
    <n v="110"/>
    <n v="100"/>
    <n v="128"/>
    <n v="125"/>
    <n v="300"/>
  </r>
  <r>
    <s v="INV1071"/>
    <d v="2026-05-12T00:00:00"/>
    <s v="SB008"/>
    <x v="5"/>
    <s v="Kolkata"/>
    <s v="Wholesale"/>
    <n v="26"/>
    <n v="50"/>
    <n v="100"/>
    <n v="94"/>
    <n v="70"/>
    <n v="44"/>
    <n v="2444"/>
  </r>
  <r>
    <s v="INV1072"/>
    <d v="2026-04-09T00:00:00"/>
    <s v="SB001"/>
    <x v="3"/>
    <s v="Bengaluru"/>
    <s v="Retail"/>
    <n v="60"/>
    <n v="40"/>
    <n v="80"/>
    <n v="75"/>
    <n v="54"/>
    <n v="0"/>
    <n v="4500"/>
  </r>
  <r>
    <s v="INV1073"/>
    <d v="2026-01-31T00:00:00"/>
    <s v="SB007"/>
    <x v="8"/>
    <s v="Mumbai"/>
    <s v="Wholesale"/>
    <n v="16"/>
    <n v="46"/>
    <n v="92"/>
    <n v="88"/>
    <n v="82"/>
    <n v="66"/>
    <n v="1408"/>
  </r>
  <r>
    <s v="INV1074"/>
    <d v="2026-02-05T00:00:00"/>
    <s v="SB010"/>
    <x v="6"/>
    <s v="Bengaluru"/>
    <s v="Retail"/>
    <n v="7"/>
    <n v="140"/>
    <n v="260"/>
    <n v="245"/>
    <n v="59"/>
    <n v="52"/>
    <n v="1715"/>
  </r>
  <r>
    <s v="INV1075"/>
    <d v="2026-02-09T00:00:00"/>
    <s v="SB010"/>
    <x v="6"/>
    <s v="Pune"/>
    <s v="Retail"/>
    <n v="5"/>
    <n v="140"/>
    <n v="260"/>
    <n v="245"/>
    <n v="44"/>
    <n v="39"/>
    <n v="1225"/>
  </r>
  <r>
    <s v="INV1076"/>
    <d v="2026-01-17T00:00:00"/>
    <s v="SB010"/>
    <x v="6"/>
    <s v="Delhi"/>
    <s v="Wholesale"/>
    <n v="14"/>
    <n v="140"/>
    <n v="260"/>
    <n v="245"/>
    <n v="42"/>
    <n v="28"/>
    <n v="3430"/>
  </r>
  <r>
    <s v="INV1077"/>
    <d v="2026-02-16T00:00:00"/>
    <s v="SB007"/>
    <x v="8"/>
    <s v="Bengaluru"/>
    <s v="Wholesale"/>
    <n v="25"/>
    <n v="46"/>
    <n v="92"/>
    <n v="88"/>
    <n v="89"/>
    <n v="64"/>
    <n v="2200"/>
  </r>
  <r>
    <s v="INV1078"/>
    <d v="2026-01-21T00:00:00"/>
    <s v="SB005"/>
    <x v="2"/>
    <s v="Bengaluru"/>
    <s v="Wholesale"/>
    <n v="12"/>
    <n v="60"/>
    <n v="120"/>
    <n v="112"/>
    <n v="76"/>
    <n v="64"/>
    <n v="1344"/>
  </r>
  <r>
    <s v="INV1079"/>
    <d v="2026-03-07T00:00:00"/>
    <s v="SB001"/>
    <x v="3"/>
    <s v="Bengaluru"/>
    <s v="Wholesale"/>
    <n v="32"/>
    <n v="40"/>
    <n v="80"/>
    <n v="75"/>
    <n v="70"/>
    <n v="38"/>
    <n v="2400"/>
  </r>
  <r>
    <s v="INV1080"/>
    <d v="2026-03-03T00:00:00"/>
    <s v="SB010"/>
    <x v="6"/>
    <s v="Bengaluru"/>
    <s v="Wholesale"/>
    <n v="8"/>
    <n v="140"/>
    <n v="260"/>
    <n v="245"/>
    <n v="68"/>
    <n v="60"/>
    <n v="1960"/>
  </r>
  <r>
    <s v="INV1081"/>
    <d v="2026-04-07T00:00:00"/>
    <s v="SB007"/>
    <x v="8"/>
    <s v="Mumbai"/>
    <s v="Retail"/>
    <n v="14"/>
    <n v="46"/>
    <n v="92"/>
    <n v="88"/>
    <n v="110"/>
    <n v="96"/>
    <n v="1232"/>
  </r>
  <r>
    <s v="INV1082"/>
    <d v="2026-06-14T00:00:00"/>
    <s v="SB005"/>
    <x v="2"/>
    <s v="Bengaluru"/>
    <s v="Wholesale"/>
    <n v="20"/>
    <n v="60"/>
    <n v="120"/>
    <n v="112"/>
    <n v="126"/>
    <n v="106"/>
    <n v="2240"/>
  </r>
  <r>
    <s v="INV1083"/>
    <d v="2026-05-14T00:00:00"/>
    <s v="SB004"/>
    <x v="4"/>
    <s v="Pune"/>
    <s v="Wholesale"/>
    <n v="18"/>
    <n v="52"/>
    <n v="105"/>
    <n v="98"/>
    <n v="99"/>
    <n v="81"/>
    <n v="1764"/>
  </r>
  <r>
    <s v="INV1084"/>
    <d v="2026-01-04T00:00:00"/>
    <s v="SB006"/>
    <x v="9"/>
    <s v="Bengaluru"/>
    <s v="Wholesale"/>
    <n v="7"/>
    <n v="45"/>
    <n v="90"/>
    <n v="85"/>
    <n v="137"/>
    <n v="130"/>
    <n v="595"/>
  </r>
  <r>
    <s v="INV1085"/>
    <d v="2026-02-22T00:00:00"/>
    <s v="SB008"/>
    <x v="5"/>
    <s v="Mumbai"/>
    <s v="Retail"/>
    <n v="12"/>
    <n v="50"/>
    <n v="100"/>
    <n v="94"/>
    <n v="99"/>
    <n v="87"/>
    <n v="1128"/>
  </r>
  <r>
    <s v="INV1086"/>
    <d v="2026-01-01T00:00:00"/>
    <s v="SB005"/>
    <x v="2"/>
    <s v="Delhi"/>
    <s v="Wholesale"/>
    <n v="35"/>
    <n v="60"/>
    <n v="120"/>
    <n v="112"/>
    <n v="74"/>
    <n v="39"/>
    <n v="3920"/>
  </r>
  <r>
    <s v="INV1087"/>
    <d v="2026-03-12T00:00:00"/>
    <s v="SB006"/>
    <x v="9"/>
    <s v="Pune"/>
    <s v="Wholesale"/>
    <n v="33"/>
    <n v="45"/>
    <n v="90"/>
    <n v="85"/>
    <n v="121"/>
    <n v="88"/>
    <n v="2805"/>
  </r>
  <r>
    <s v="INV1088"/>
    <d v="2026-05-05T00:00:00"/>
    <s v="SB002"/>
    <x v="1"/>
    <s v="Bengaluru"/>
    <s v="Retail"/>
    <n v="4"/>
    <n v="55"/>
    <n v="110"/>
    <n v="100"/>
    <n v="122"/>
    <n v="118"/>
    <n v="400"/>
  </r>
  <r>
    <s v="INV1089"/>
    <d v="2026-02-02T00:00:00"/>
    <s v="SB008"/>
    <x v="5"/>
    <s v="Kolkata"/>
    <s v="Retail"/>
    <n v="16"/>
    <n v="50"/>
    <n v="100"/>
    <n v="94"/>
    <n v="102"/>
    <n v="86"/>
    <n v="1504"/>
  </r>
  <r>
    <s v="INV1090"/>
    <d v="2026-05-12T00:00:00"/>
    <s v="SB006"/>
    <x v="9"/>
    <s v="Mumbai"/>
    <s v="Retail"/>
    <n v="12"/>
    <n v="45"/>
    <n v="90"/>
    <n v="85"/>
    <n v="95"/>
    <n v="83"/>
    <n v="1020"/>
  </r>
  <r>
    <s v="INV1091"/>
    <d v="2026-01-15T00:00:00"/>
    <s v="SB001"/>
    <x v="3"/>
    <s v="Delhi"/>
    <s v="Retail"/>
    <n v="50"/>
    <n v="40"/>
    <n v="80"/>
    <n v="75"/>
    <n v="48"/>
    <n v="0"/>
    <n v="3750"/>
  </r>
  <r>
    <s v="INV1092"/>
    <d v="2026-02-27T00:00:00"/>
    <s v="SB002"/>
    <x v="1"/>
    <s v="Bengaluru"/>
    <s v="Wholesale"/>
    <n v="6"/>
    <n v="55"/>
    <n v="110"/>
    <n v="100"/>
    <n v="178"/>
    <n v="172"/>
    <n v="600"/>
  </r>
  <r>
    <s v="INV1093"/>
    <d v="2026-03-13T00:00:00"/>
    <s v="SB001"/>
    <x v="3"/>
    <s v="Pune"/>
    <s v="Wholesale"/>
    <n v="53"/>
    <n v="40"/>
    <n v="80"/>
    <n v="75"/>
    <n v="41"/>
    <n v="0"/>
    <n v="3975"/>
  </r>
  <r>
    <s v="INV1094"/>
    <d v="2026-06-25T00:00:00"/>
    <s v="SB009"/>
    <x v="7"/>
    <s v="Bengaluru"/>
    <s v="Retail"/>
    <n v="34"/>
    <n v="58"/>
    <n v="118"/>
    <n v="110"/>
    <n v="70"/>
    <n v="36"/>
    <n v="3740"/>
  </r>
  <r>
    <s v="INV1095"/>
    <d v="2026-03-12T00:00:00"/>
    <s v="SB004"/>
    <x v="4"/>
    <s v="Delhi"/>
    <s v="Wholesale"/>
    <n v="38"/>
    <n v="52"/>
    <n v="105"/>
    <n v="98"/>
    <n v="103"/>
    <n v="65"/>
    <n v="3724"/>
  </r>
  <r>
    <s v="INV1096"/>
    <d v="2026-01-22T00:00:00"/>
    <s v="SB005"/>
    <x v="2"/>
    <s v="Bengaluru"/>
    <s v="Wholesale"/>
    <n v="33"/>
    <n v="60"/>
    <n v="120"/>
    <n v="112"/>
    <n v="68"/>
    <n v="35"/>
    <n v="3696"/>
  </r>
  <r>
    <s v="INV1097"/>
    <d v="2026-06-30T00:00:00"/>
    <s v="SB005"/>
    <x v="2"/>
    <s v="Mumbai"/>
    <s v="Wholesale"/>
    <n v="39"/>
    <n v="60"/>
    <n v="120"/>
    <n v="112"/>
    <n v="67"/>
    <n v="28"/>
    <n v="4368"/>
  </r>
  <r>
    <s v="INV1098"/>
    <d v="2026-02-05T00:00:00"/>
    <s v="SB004"/>
    <x v="4"/>
    <s v="Delhi"/>
    <s v="Retail"/>
    <n v="14"/>
    <n v="52"/>
    <n v="105"/>
    <n v="98"/>
    <n v="122"/>
    <n v="108"/>
    <n v="1372"/>
  </r>
  <r>
    <s v="INV1099"/>
    <d v="2026-04-01T00:00:00"/>
    <s v="SB003"/>
    <x v="0"/>
    <s v="Delhi"/>
    <s v="Retail"/>
    <n v="16"/>
    <n v="48"/>
    <n v="95"/>
    <n v="90"/>
    <n v="137"/>
    <n v="121"/>
    <n v="1440"/>
  </r>
  <r>
    <s v="INV1100"/>
    <d v="2026-06-28T00:00:00"/>
    <s v="SB008"/>
    <x v="5"/>
    <s v="Bengaluru"/>
    <s v="Retail"/>
    <n v="14"/>
    <n v="50"/>
    <n v="100"/>
    <n v="94"/>
    <n v="72"/>
    <n v="58"/>
    <n v="1316"/>
  </r>
  <r>
    <s v="INV1101"/>
    <d v="2026-04-25T00:00:00"/>
    <s v="SB006"/>
    <x v="9"/>
    <s v="Bengaluru"/>
    <s v="Wholesale"/>
    <n v="20"/>
    <n v="45"/>
    <n v="90"/>
    <n v="85"/>
    <n v="116"/>
    <n v="96"/>
    <n v="1700"/>
  </r>
  <r>
    <s v="INV1102"/>
    <d v="2026-02-09T00:00:00"/>
    <s v="SB007"/>
    <x v="8"/>
    <s v="Bengaluru"/>
    <s v="Retail"/>
    <n v="36"/>
    <n v="46"/>
    <n v="92"/>
    <n v="88"/>
    <n v="133"/>
    <n v="97"/>
    <n v="3168"/>
  </r>
  <r>
    <s v="INV1103"/>
    <d v="2026-01-17T00:00:00"/>
    <s v="SB001"/>
    <x v="3"/>
    <s v="Delhi"/>
    <s v="Retail"/>
    <n v="50"/>
    <n v="40"/>
    <n v="80"/>
    <n v="75"/>
    <n v="68"/>
    <n v="18"/>
    <n v="3750"/>
  </r>
  <r>
    <s v="INV1104"/>
    <d v="2026-03-08T00:00:00"/>
    <s v="SB007"/>
    <x v="8"/>
    <s v="Bengaluru"/>
    <s v="Retail"/>
    <n v="25"/>
    <n v="46"/>
    <n v="92"/>
    <n v="88"/>
    <n v="84"/>
    <n v="59"/>
    <n v="2200"/>
  </r>
  <r>
    <s v="INV1105"/>
    <d v="2026-03-23T00:00:00"/>
    <s v="SB007"/>
    <x v="8"/>
    <s v="Delhi"/>
    <s v="Retail"/>
    <n v="38"/>
    <n v="46"/>
    <n v="92"/>
    <n v="88"/>
    <n v="106"/>
    <n v="68"/>
    <n v="3344"/>
  </r>
  <r>
    <s v="INV1106"/>
    <d v="2026-02-07T00:00:00"/>
    <s v="SB007"/>
    <x v="8"/>
    <s v="Delhi"/>
    <s v="Retail"/>
    <n v="26"/>
    <n v="46"/>
    <n v="92"/>
    <n v="88"/>
    <n v="76"/>
    <n v="50"/>
    <n v="2288"/>
  </r>
  <r>
    <s v="INV1107"/>
    <d v="2026-05-30T00:00:00"/>
    <s v="SB004"/>
    <x v="4"/>
    <s v="Mumbai"/>
    <s v="Retail"/>
    <n v="10"/>
    <n v="52"/>
    <n v="105"/>
    <n v="98"/>
    <n v="107"/>
    <n v="97"/>
    <n v="980"/>
  </r>
  <r>
    <s v="INV1108"/>
    <d v="2026-05-23T00:00:00"/>
    <s v="SB002"/>
    <x v="1"/>
    <s v="Mumbai"/>
    <s v="Retail"/>
    <n v="7"/>
    <n v="55"/>
    <n v="110"/>
    <n v="100"/>
    <n v="121"/>
    <n v="114"/>
    <n v="700"/>
  </r>
  <r>
    <s v="INV1109"/>
    <d v="2026-04-30T00:00:00"/>
    <s v="SB002"/>
    <x v="1"/>
    <s v="Delhi"/>
    <s v="Retail"/>
    <n v="3"/>
    <n v="55"/>
    <n v="110"/>
    <n v="100"/>
    <n v="155"/>
    <n v="152"/>
    <n v="300"/>
  </r>
  <r>
    <s v="INV1110"/>
    <d v="2026-04-09T00:00:00"/>
    <s v="SB009"/>
    <x v="7"/>
    <s v="Mumbai"/>
    <s v="Retail"/>
    <n v="26"/>
    <n v="58"/>
    <n v="118"/>
    <n v="110"/>
    <n v="129"/>
    <n v="103"/>
    <n v="2860"/>
  </r>
  <r>
    <s v="INV1111"/>
    <d v="2026-03-02T00:00:00"/>
    <s v="SB008"/>
    <x v="5"/>
    <s v="Pune"/>
    <s v="Retail"/>
    <n v="37"/>
    <n v="50"/>
    <n v="100"/>
    <n v="94"/>
    <n v="83"/>
    <n v="46"/>
    <n v="3478"/>
  </r>
  <r>
    <s v="INV1112"/>
    <d v="2026-03-03T00:00:00"/>
    <s v="SB006"/>
    <x v="9"/>
    <s v="Delhi"/>
    <s v="Wholesale"/>
    <n v="14"/>
    <n v="45"/>
    <n v="90"/>
    <n v="85"/>
    <n v="74"/>
    <n v="60"/>
    <n v="1190"/>
  </r>
  <r>
    <s v="INV1113"/>
    <d v="2026-06-21T00:00:00"/>
    <s v="SB003"/>
    <x v="0"/>
    <s v="Mumbai"/>
    <s v="Retail"/>
    <n v="25"/>
    <n v="48"/>
    <n v="95"/>
    <n v="90"/>
    <n v="95"/>
    <n v="70"/>
    <n v="2250"/>
  </r>
  <r>
    <s v="INV1114"/>
    <d v="2026-04-15T00:00:00"/>
    <s v="SB004"/>
    <x v="4"/>
    <s v="Mumbai"/>
    <s v="Retail"/>
    <n v="26"/>
    <n v="52"/>
    <n v="105"/>
    <n v="98"/>
    <n v="112"/>
    <n v="86"/>
    <n v="2548"/>
  </r>
  <r>
    <s v="INV1115"/>
    <d v="2026-06-29T00:00:00"/>
    <s v="SB009"/>
    <x v="7"/>
    <s v="Mumbai"/>
    <s v="Retail"/>
    <n v="16"/>
    <n v="58"/>
    <n v="118"/>
    <n v="110"/>
    <n v="136"/>
    <n v="120"/>
    <n v="1760"/>
  </r>
  <r>
    <s v="INV1116"/>
    <d v="2026-05-18T00:00:00"/>
    <s v="SB006"/>
    <x v="9"/>
    <s v="Bengaluru"/>
    <s v="Retail"/>
    <n v="24"/>
    <n v="45"/>
    <n v="90"/>
    <n v="85"/>
    <n v="118"/>
    <n v="94"/>
    <n v="2040"/>
  </r>
  <r>
    <s v="INV1117"/>
    <d v="2026-06-16T00:00:00"/>
    <s v="SB002"/>
    <x v="1"/>
    <s v="Mumbai"/>
    <s v="Wholesale"/>
    <n v="9"/>
    <n v="55"/>
    <n v="110"/>
    <n v="100"/>
    <n v="121"/>
    <n v="112"/>
    <n v="900"/>
  </r>
  <r>
    <s v="INV1118"/>
    <d v="2026-01-26T00:00:00"/>
    <s v="SB005"/>
    <x v="2"/>
    <s v="Delhi"/>
    <s v="Retail"/>
    <n v="19"/>
    <n v="60"/>
    <n v="120"/>
    <n v="112"/>
    <n v="73"/>
    <n v="54"/>
    <n v="2128"/>
  </r>
  <r>
    <s v="INV1119"/>
    <d v="2026-04-02T00:00:00"/>
    <s v="SB009"/>
    <x v="7"/>
    <s v="Mumbai"/>
    <s v="Wholesale"/>
    <n v="28"/>
    <n v="58"/>
    <n v="118"/>
    <n v="110"/>
    <n v="66"/>
    <n v="38"/>
    <n v="3080"/>
  </r>
  <r>
    <s v="INV1120"/>
    <d v="2026-06-07T00:00:00"/>
    <s v="SB008"/>
    <x v="5"/>
    <s v="Mumbai"/>
    <s v="Wholesale"/>
    <n v="38"/>
    <n v="50"/>
    <n v="100"/>
    <n v="94"/>
    <n v="63"/>
    <n v="25"/>
    <n v="3572"/>
  </r>
  <r>
    <s v="INV1121"/>
    <d v="2026-06-07T00:00:00"/>
    <s v="SB006"/>
    <x v="9"/>
    <s v="Kolkata"/>
    <s v="Retail"/>
    <n v="20"/>
    <n v="45"/>
    <n v="90"/>
    <n v="85"/>
    <n v="109"/>
    <n v="89"/>
    <n v="1700"/>
  </r>
  <r>
    <s v="INV1122"/>
    <d v="2026-05-12T00:00:00"/>
    <s v="SB009"/>
    <x v="7"/>
    <s v="Mumbai"/>
    <s v="Wholesale"/>
    <n v="40"/>
    <n v="58"/>
    <n v="118"/>
    <n v="110"/>
    <n v="60"/>
    <n v="20"/>
    <n v="4400"/>
  </r>
  <r>
    <s v="INV1123"/>
    <d v="2026-05-05T00:00:00"/>
    <s v="SB010"/>
    <x v="6"/>
    <s v="Pune"/>
    <s v="Wholesale"/>
    <n v="10"/>
    <n v="140"/>
    <n v="260"/>
    <n v="245"/>
    <n v="55"/>
    <n v="45"/>
    <n v="2450"/>
  </r>
  <r>
    <s v="INV1124"/>
    <d v="2026-04-10T00:00:00"/>
    <s v="SB006"/>
    <x v="9"/>
    <s v="Mumbai"/>
    <s v="Retail"/>
    <n v="40"/>
    <n v="45"/>
    <n v="90"/>
    <n v="85"/>
    <n v="78"/>
    <n v="38"/>
    <n v="3400"/>
  </r>
  <r>
    <s v="INV1125"/>
    <d v="2026-01-20T00:00:00"/>
    <s v="SB001"/>
    <x v="3"/>
    <s v="Bengaluru"/>
    <s v="Wholesale"/>
    <n v="50"/>
    <n v="40"/>
    <n v="80"/>
    <n v="75"/>
    <n v="53"/>
    <n v="3"/>
    <n v="3750"/>
  </r>
  <r>
    <s v="INV1126"/>
    <d v="2026-03-30T00:00:00"/>
    <s v="SB001"/>
    <x v="3"/>
    <s v="Pune"/>
    <s v="Retail"/>
    <n v="55"/>
    <n v="40"/>
    <n v="80"/>
    <n v="75"/>
    <n v="61"/>
    <n v="6"/>
    <n v="4125"/>
  </r>
  <r>
    <s v="INV1127"/>
    <d v="2026-03-13T00:00:00"/>
    <s v="SB004"/>
    <x v="4"/>
    <s v="Kolkata"/>
    <s v="Retail"/>
    <n v="28"/>
    <n v="52"/>
    <n v="105"/>
    <n v="98"/>
    <n v="63"/>
    <n v="35"/>
    <n v="2744"/>
  </r>
  <r>
    <s v="INV1128"/>
    <d v="2026-01-06T00:00:00"/>
    <s v="SB009"/>
    <x v="7"/>
    <s v="Delhi"/>
    <s v="Retail"/>
    <n v="28"/>
    <n v="58"/>
    <n v="118"/>
    <n v="110"/>
    <n v="87"/>
    <n v="59"/>
    <n v="3080"/>
  </r>
  <r>
    <s v="INV1129"/>
    <d v="2026-04-19T00:00:00"/>
    <s v="SB005"/>
    <x v="2"/>
    <s v="Mumbai"/>
    <s v="Retail"/>
    <n v="33"/>
    <n v="60"/>
    <n v="120"/>
    <n v="112"/>
    <n v="100"/>
    <n v="67"/>
    <n v="3696"/>
  </r>
  <r>
    <s v="INV1130"/>
    <d v="2026-06-12T00:00:00"/>
    <s v="SB007"/>
    <x v="8"/>
    <s v="Delhi"/>
    <s v="Wholesale"/>
    <n v="22"/>
    <n v="46"/>
    <n v="92"/>
    <n v="88"/>
    <n v="66"/>
    <n v="44"/>
    <n v="1936"/>
  </r>
  <r>
    <s v="INV1131"/>
    <d v="2026-02-26T00:00:00"/>
    <s v="SB009"/>
    <x v="7"/>
    <s v="Pune"/>
    <s v="Retail"/>
    <n v="23"/>
    <n v="58"/>
    <n v="118"/>
    <n v="110"/>
    <n v="125"/>
    <n v="102"/>
    <n v="2530"/>
  </r>
  <r>
    <s v="INV1132"/>
    <d v="2026-01-13T00:00:00"/>
    <s v="SB010"/>
    <x v="6"/>
    <s v="Bengaluru"/>
    <s v="Retail"/>
    <n v="13"/>
    <n v="140"/>
    <n v="260"/>
    <n v="245"/>
    <n v="66"/>
    <n v="53"/>
    <n v="3185"/>
  </r>
  <r>
    <s v="INV1133"/>
    <d v="2026-03-12T00:00:00"/>
    <s v="SB001"/>
    <x v="3"/>
    <s v="Delhi"/>
    <s v="Retail"/>
    <n v="55"/>
    <n v="40"/>
    <n v="80"/>
    <n v="75"/>
    <n v="56"/>
    <n v="1"/>
    <n v="4125"/>
  </r>
  <r>
    <s v="INV1134"/>
    <d v="2026-03-04T00:00:00"/>
    <s v="SB003"/>
    <x v="0"/>
    <s v="Bengaluru"/>
    <s v="Retail"/>
    <n v="10"/>
    <n v="48"/>
    <n v="95"/>
    <n v="90"/>
    <n v="61"/>
    <n v="51"/>
    <n v="900"/>
  </r>
  <r>
    <s v="INV1135"/>
    <d v="2026-06-28T00:00:00"/>
    <s v="SB009"/>
    <x v="7"/>
    <s v="Delhi"/>
    <s v="Retail"/>
    <n v="32"/>
    <n v="58"/>
    <n v="118"/>
    <n v="110"/>
    <n v="128"/>
    <n v="96"/>
    <n v="3520"/>
  </r>
  <r>
    <s v="INV1136"/>
    <d v="2026-03-25T00:00:00"/>
    <s v="SB010"/>
    <x v="6"/>
    <s v="Mumbai"/>
    <s v="Wholesale"/>
    <n v="15"/>
    <n v="140"/>
    <n v="260"/>
    <n v="245"/>
    <n v="54"/>
    <n v="39"/>
    <n v="3675"/>
  </r>
  <r>
    <s v="INV1137"/>
    <d v="2026-06-13T00:00:00"/>
    <s v="SB006"/>
    <x v="9"/>
    <s v="Mumbai"/>
    <s v="Retail"/>
    <n v="17"/>
    <n v="45"/>
    <n v="90"/>
    <n v="85"/>
    <n v="88"/>
    <n v="71"/>
    <n v="1445"/>
  </r>
  <r>
    <s v="INV1138"/>
    <d v="2026-04-05T00:00:00"/>
    <s v="SB005"/>
    <x v="2"/>
    <s v="Mumbai"/>
    <s v="Wholesale"/>
    <n v="18"/>
    <n v="60"/>
    <n v="120"/>
    <n v="112"/>
    <n v="60"/>
    <n v="42"/>
    <n v="2016"/>
  </r>
  <r>
    <s v="INV1139"/>
    <d v="2026-01-31T00:00:00"/>
    <s v="SB003"/>
    <x v="0"/>
    <s v="Mumbai"/>
    <s v="Retail"/>
    <n v="19"/>
    <n v="48"/>
    <n v="95"/>
    <n v="90"/>
    <n v="93"/>
    <n v="74"/>
    <n v="1710"/>
  </r>
  <r>
    <s v="INV1140"/>
    <d v="2026-04-14T00:00:00"/>
    <s v="SB002"/>
    <x v="1"/>
    <s v="Mumbai"/>
    <s v="Retail"/>
    <n v="10"/>
    <n v="55"/>
    <n v="110"/>
    <n v="100"/>
    <n v="176"/>
    <n v="166"/>
    <n v="1000"/>
  </r>
  <r>
    <s v="INV1141"/>
    <d v="2026-06-20T00:00:00"/>
    <s v="SB003"/>
    <x v="0"/>
    <s v="Kolkata"/>
    <s v="Wholesale"/>
    <n v="12"/>
    <n v="48"/>
    <n v="95"/>
    <n v="90"/>
    <n v="101"/>
    <n v="89"/>
    <n v="1080"/>
  </r>
  <r>
    <s v="INV1142"/>
    <d v="2026-05-13T00:00:00"/>
    <s v="SB007"/>
    <x v="8"/>
    <s v="Bengaluru"/>
    <s v="Retail"/>
    <n v="16"/>
    <n v="46"/>
    <n v="92"/>
    <n v="88"/>
    <n v="136"/>
    <n v="120"/>
    <n v="1408"/>
  </r>
  <r>
    <s v="INV1143"/>
    <d v="2026-05-06T00:00:00"/>
    <s v="SB009"/>
    <x v="7"/>
    <s v="Delhi"/>
    <s v="Wholesale"/>
    <n v="10"/>
    <n v="58"/>
    <n v="118"/>
    <n v="110"/>
    <n v="105"/>
    <n v="95"/>
    <n v="1100"/>
  </r>
  <r>
    <s v="INV1144"/>
    <d v="2026-04-12T00:00:00"/>
    <s v="SB001"/>
    <x v="3"/>
    <s v="Delhi"/>
    <s v="Retail"/>
    <n v="44"/>
    <n v="40"/>
    <n v="80"/>
    <n v="75"/>
    <n v="43"/>
    <n v="0"/>
    <n v="3300"/>
  </r>
  <r>
    <s v="INV1145"/>
    <d v="2026-04-20T00:00:00"/>
    <s v="SB001"/>
    <x v="3"/>
    <s v="Mumbai"/>
    <s v="Wholesale"/>
    <n v="42"/>
    <n v="40"/>
    <n v="80"/>
    <n v="75"/>
    <n v="80"/>
    <n v="38"/>
    <n v="3150"/>
  </r>
  <r>
    <s v="INV1146"/>
    <d v="2026-01-13T00:00:00"/>
    <s v="SB006"/>
    <x v="9"/>
    <s v="Delhi"/>
    <s v="Wholesale"/>
    <n v="22"/>
    <n v="45"/>
    <n v="90"/>
    <n v="85"/>
    <n v="62"/>
    <n v="40"/>
    <n v="1870"/>
  </r>
  <r>
    <s v="INV1147"/>
    <d v="2026-01-29T00:00:00"/>
    <s v="SB005"/>
    <x v="2"/>
    <s v="Pune"/>
    <s v="Retail"/>
    <n v="24"/>
    <n v="60"/>
    <n v="120"/>
    <n v="112"/>
    <n v="104"/>
    <n v="80"/>
    <n v="2688"/>
  </r>
  <r>
    <s v="INV1148"/>
    <d v="2026-01-25T00:00:00"/>
    <s v="SB008"/>
    <x v="5"/>
    <s v="Delhi"/>
    <s v="Retail"/>
    <n v="37"/>
    <n v="50"/>
    <n v="100"/>
    <n v="94"/>
    <n v="114"/>
    <n v="77"/>
    <n v="3478"/>
  </r>
  <r>
    <s v="INV1149"/>
    <d v="2026-05-30T00:00:00"/>
    <s v="SB001"/>
    <x v="3"/>
    <s v="Delhi"/>
    <s v="Retail"/>
    <n v="36"/>
    <n v="40"/>
    <n v="80"/>
    <n v="75"/>
    <n v="64"/>
    <n v="28"/>
    <n v="2700"/>
  </r>
  <r>
    <s v="INV1150"/>
    <d v="2026-05-18T00:00:00"/>
    <s v="SB003"/>
    <x v="0"/>
    <s v="Bengaluru"/>
    <s v="Retail"/>
    <n v="20"/>
    <n v="48"/>
    <n v="95"/>
    <n v="90"/>
    <n v="138"/>
    <n v="118"/>
    <n v="1800"/>
  </r>
  <r>
    <s v="INV1151"/>
    <d v="2026-02-25T00:00:00"/>
    <s v="SB004"/>
    <x v="4"/>
    <s v="Kolkata"/>
    <s v="Wholesale"/>
    <n v="17"/>
    <n v="52"/>
    <n v="105"/>
    <n v="98"/>
    <n v="75"/>
    <n v="58"/>
    <n v="1666"/>
  </r>
  <r>
    <s v="INV1152"/>
    <d v="2026-04-16T00:00:00"/>
    <s v="SB001"/>
    <x v="3"/>
    <s v="Mumbai"/>
    <s v="Retail"/>
    <n v="42"/>
    <n v="40"/>
    <n v="80"/>
    <n v="75"/>
    <n v="55"/>
    <n v="13"/>
    <n v="3150"/>
  </r>
  <r>
    <s v="INV1153"/>
    <d v="2026-04-15T00:00:00"/>
    <s v="SB007"/>
    <x v="8"/>
    <s v="Delhi"/>
    <s v="Wholesale"/>
    <n v="10"/>
    <n v="46"/>
    <n v="92"/>
    <n v="88"/>
    <n v="93"/>
    <n v="83"/>
    <n v="880"/>
  </r>
  <r>
    <s v="INV1154"/>
    <d v="2026-01-20T00:00:00"/>
    <s v="SB007"/>
    <x v="8"/>
    <s v="Mumbai"/>
    <s v="Wholesale"/>
    <n v="14"/>
    <n v="46"/>
    <n v="92"/>
    <n v="88"/>
    <n v="124"/>
    <n v="110"/>
    <n v="1232"/>
  </r>
  <r>
    <s v="INV1155"/>
    <d v="2026-02-21T00:00:00"/>
    <s v="SB005"/>
    <x v="2"/>
    <s v="Pune"/>
    <s v="Retail"/>
    <n v="18"/>
    <n v="60"/>
    <n v="120"/>
    <n v="112"/>
    <n v="119"/>
    <n v="101"/>
    <n v="2016"/>
  </r>
  <r>
    <s v="INV1156"/>
    <d v="2026-05-01T00:00:00"/>
    <s v="SB002"/>
    <x v="1"/>
    <s v="Mumbai"/>
    <s v="Retail"/>
    <n v="9"/>
    <n v="55"/>
    <n v="110"/>
    <n v="100"/>
    <n v="135"/>
    <n v="126"/>
    <n v="900"/>
  </r>
  <r>
    <s v="INV1157"/>
    <d v="2026-01-17T00:00:00"/>
    <s v="SB010"/>
    <x v="6"/>
    <s v="Kolkata"/>
    <s v="Retail"/>
    <n v="5"/>
    <n v="140"/>
    <n v="260"/>
    <n v="245"/>
    <n v="70"/>
    <n v="65"/>
    <n v="1225"/>
  </r>
  <r>
    <s v="INV1158"/>
    <d v="2026-02-15T00:00:00"/>
    <s v="SB008"/>
    <x v="5"/>
    <s v="Kolkata"/>
    <s v="Retail"/>
    <n v="23"/>
    <n v="50"/>
    <n v="100"/>
    <n v="94"/>
    <n v="140"/>
    <n v="117"/>
    <n v="2162"/>
  </r>
  <r>
    <s v="INV1159"/>
    <d v="2026-05-25T00:00:00"/>
    <s v="SB005"/>
    <x v="2"/>
    <s v="Bengaluru"/>
    <s v="Retail"/>
    <n v="11"/>
    <n v="60"/>
    <n v="120"/>
    <n v="112"/>
    <n v="84"/>
    <n v="73"/>
    <n v="1232"/>
  </r>
  <r>
    <s v="INV1160"/>
    <d v="2026-02-09T00:00:00"/>
    <s v="SB009"/>
    <x v="7"/>
    <s v="Bengaluru"/>
    <s v="Retail"/>
    <n v="18"/>
    <n v="58"/>
    <n v="118"/>
    <n v="110"/>
    <n v="108"/>
    <n v="90"/>
    <n v="1980"/>
  </r>
  <r>
    <s v="INV1161"/>
    <d v="2026-01-08T00:00:00"/>
    <s v="SB003"/>
    <x v="0"/>
    <s v="Pune"/>
    <s v="Wholesale"/>
    <n v="30"/>
    <n v="48"/>
    <n v="95"/>
    <n v="90"/>
    <n v="130"/>
    <n v="100"/>
    <n v="2700"/>
  </r>
  <r>
    <s v="INV1162"/>
    <d v="2026-02-06T00:00:00"/>
    <s v="SB007"/>
    <x v="8"/>
    <s v="Mumbai"/>
    <s v="Retail"/>
    <n v="33"/>
    <n v="46"/>
    <n v="92"/>
    <n v="88"/>
    <n v="128"/>
    <n v="95"/>
    <n v="2904"/>
  </r>
  <r>
    <s v="INV1163"/>
    <d v="2026-04-05T00:00:00"/>
    <s v="SB005"/>
    <x v="2"/>
    <s v="Kolkata"/>
    <s v="Wholesale"/>
    <n v="37"/>
    <n v="60"/>
    <n v="120"/>
    <n v="112"/>
    <n v="99"/>
    <n v="62"/>
    <n v="4144"/>
  </r>
  <r>
    <s v="INV1164"/>
    <d v="2026-04-10T00:00:00"/>
    <s v="SB010"/>
    <x v="6"/>
    <s v="Delhi"/>
    <s v="Wholesale"/>
    <n v="12"/>
    <n v="140"/>
    <n v="260"/>
    <n v="245"/>
    <n v="61"/>
    <n v="49"/>
    <n v="2940"/>
  </r>
  <r>
    <s v="INV1165"/>
    <d v="2026-04-26T00:00:00"/>
    <s v="SB009"/>
    <x v="7"/>
    <s v="Pune"/>
    <s v="Retail"/>
    <n v="31"/>
    <n v="58"/>
    <n v="118"/>
    <n v="110"/>
    <n v="131"/>
    <n v="100"/>
    <n v="3410"/>
  </r>
  <r>
    <s v="INV1166"/>
    <d v="2026-04-07T00:00:00"/>
    <s v="SB003"/>
    <x v="0"/>
    <s v="Kolkata"/>
    <s v="Retail"/>
    <n v="28"/>
    <n v="48"/>
    <n v="95"/>
    <n v="90"/>
    <n v="125"/>
    <n v="97"/>
    <n v="2520"/>
  </r>
  <r>
    <s v="INV1167"/>
    <d v="2026-03-29T00:00:00"/>
    <s v="SB006"/>
    <x v="9"/>
    <s v="Pune"/>
    <s v="Retail"/>
    <n v="30"/>
    <n v="45"/>
    <n v="90"/>
    <n v="85"/>
    <n v="135"/>
    <n v="105"/>
    <n v="2550"/>
  </r>
  <r>
    <s v="INV1168"/>
    <d v="2026-04-16T00:00:00"/>
    <s v="SB009"/>
    <x v="7"/>
    <s v="Pune"/>
    <s v="Retail"/>
    <n v="13"/>
    <n v="58"/>
    <n v="118"/>
    <n v="110"/>
    <n v="120"/>
    <n v="107"/>
    <n v="1430"/>
  </r>
  <r>
    <s v="INV1169"/>
    <d v="2026-05-28T00:00:00"/>
    <s v="SB009"/>
    <x v="7"/>
    <s v="Delhi"/>
    <s v="Retail"/>
    <n v="40"/>
    <n v="58"/>
    <n v="118"/>
    <n v="110"/>
    <n v="132"/>
    <n v="92"/>
    <n v="4400"/>
  </r>
  <r>
    <s v="INV1170"/>
    <d v="2026-01-09T00:00:00"/>
    <s v="SB009"/>
    <x v="7"/>
    <s v="Delhi"/>
    <s v="Retail"/>
    <n v="9"/>
    <n v="58"/>
    <n v="118"/>
    <n v="110"/>
    <n v="137"/>
    <n v="128"/>
    <n v="990"/>
  </r>
  <r>
    <s v="INV1171"/>
    <d v="2026-03-12T00:00:00"/>
    <s v="SB008"/>
    <x v="5"/>
    <s v="Kolkata"/>
    <s v="Wholesale"/>
    <n v="30"/>
    <n v="50"/>
    <n v="100"/>
    <n v="94"/>
    <n v="131"/>
    <n v="101"/>
    <n v="2820"/>
  </r>
  <r>
    <s v="INV1172"/>
    <d v="2026-06-29T00:00:00"/>
    <s v="SB009"/>
    <x v="7"/>
    <s v="Pune"/>
    <s v="Wholesale"/>
    <n v="19"/>
    <n v="58"/>
    <n v="118"/>
    <n v="110"/>
    <n v="68"/>
    <n v="49"/>
    <n v="2090"/>
  </r>
  <r>
    <s v="INV1173"/>
    <d v="2026-03-14T00:00:00"/>
    <s v="SB003"/>
    <x v="0"/>
    <s v="Kolkata"/>
    <s v="Retail"/>
    <n v="23"/>
    <n v="48"/>
    <n v="95"/>
    <n v="90"/>
    <n v="131"/>
    <n v="108"/>
    <n v="2070"/>
  </r>
  <r>
    <s v="INV1174"/>
    <d v="2026-03-05T00:00:00"/>
    <s v="SB001"/>
    <x v="3"/>
    <s v="Kolkata"/>
    <s v="Retail"/>
    <n v="44"/>
    <n v="40"/>
    <n v="80"/>
    <n v="75"/>
    <n v="62"/>
    <n v="18"/>
    <n v="3300"/>
  </r>
  <r>
    <s v="INV1175"/>
    <d v="2026-05-13T00:00:00"/>
    <s v="SB004"/>
    <x v="4"/>
    <s v="Mumbai"/>
    <s v="Wholesale"/>
    <n v="30"/>
    <n v="52"/>
    <n v="105"/>
    <n v="98"/>
    <n v="134"/>
    <n v="104"/>
    <n v="2940"/>
  </r>
  <r>
    <s v="INV1176"/>
    <d v="2026-04-27T00:00:00"/>
    <s v="SB002"/>
    <x v="1"/>
    <s v="Pune"/>
    <s v="Retail"/>
    <n v="6"/>
    <n v="55"/>
    <n v="110"/>
    <n v="100"/>
    <n v="177"/>
    <n v="171"/>
    <n v="600"/>
  </r>
  <r>
    <s v="INV1177"/>
    <d v="2026-04-04T00:00:00"/>
    <s v="SB009"/>
    <x v="7"/>
    <s v="Kolkata"/>
    <s v="Retail"/>
    <n v="6"/>
    <n v="58"/>
    <n v="118"/>
    <n v="110"/>
    <n v="101"/>
    <n v="95"/>
    <n v="660"/>
  </r>
  <r>
    <s v="INV1178"/>
    <d v="2026-06-12T00:00:00"/>
    <s v="SB007"/>
    <x v="8"/>
    <s v="Bengaluru"/>
    <s v="Wholesale"/>
    <n v="24"/>
    <n v="46"/>
    <n v="92"/>
    <n v="88"/>
    <n v="114"/>
    <n v="90"/>
    <n v="2112"/>
  </r>
  <r>
    <s v="INV1179"/>
    <d v="2026-05-07T00:00:00"/>
    <s v="SB001"/>
    <x v="3"/>
    <s v="Delhi"/>
    <s v="Wholesale"/>
    <n v="59"/>
    <n v="40"/>
    <n v="80"/>
    <n v="75"/>
    <n v="62"/>
    <n v="3"/>
    <n v="44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76189-69B4-47F5-AC7C-7F870C9C6F3D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99:B110" firstHeaderRow="1" firstDataRow="1" firstDataCol="1"/>
  <pivotFields count="13">
    <pivotField showAll="0"/>
    <pivotField numFmtId="164" showAll="0"/>
    <pivotField showAll="0"/>
    <pivotField axis="axisRow" showAll="0">
      <items count="11">
        <item x="4"/>
        <item x="9"/>
        <item x="7"/>
        <item x="1"/>
        <item x="6"/>
        <item x="0"/>
        <item x="3"/>
        <item x="8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Closing_Stock" fld="1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ABBC40-728D-4578-8D5C-DFD86C1D387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8:B29" firstHeaderRow="1" firstDataRow="1" firstDataCol="1"/>
  <pivotFields count="13">
    <pivotField showAll="0"/>
    <pivotField numFmtId="164" showAll="0"/>
    <pivotField showAll="0"/>
    <pivotField axis="axisRow" showAll="0">
      <items count="11">
        <item x="4"/>
        <item x="9"/>
        <item x="7"/>
        <item x="1"/>
        <item x="6"/>
        <item x="0"/>
        <item x="3"/>
        <item x="8"/>
        <item x="5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Manufacturing_Cost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B7C2CE-4ABA-4A85-8E32-1EC9A4A912B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13">
    <pivotField showAll="0"/>
    <pivotField numFmtId="164" showAll="0"/>
    <pivotField showAll="0"/>
    <pivotField axis="axisRow" showAll="0">
      <items count="11">
        <item x="4"/>
        <item x="9"/>
        <item x="7"/>
        <item x="1"/>
        <item x="6"/>
        <item x="0"/>
        <item x="3"/>
        <item x="8"/>
        <item x="5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_Sold" fld="6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2BDFAB-4E54-4D1A-910D-55C8551BC95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5:B96" firstHeaderRow="1" firstDataRow="1" firstDataCol="1"/>
  <pivotFields count="13">
    <pivotField showAll="0"/>
    <pivotField numFmtId="164" showAll="0"/>
    <pivotField showAll="0"/>
    <pivotField axis="axisRow" showAll="0">
      <items count="11">
        <item x="4"/>
        <item x="9"/>
        <item x="7"/>
        <item x="1"/>
        <item x="6"/>
        <item x="0"/>
        <item x="3"/>
        <item x="8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Max of Opening_Stock" fld="10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C0A83-3263-4070-B780-624B7CD91A3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68:B79" firstHeaderRow="1" firstDataRow="1" firstDataCol="1"/>
  <pivotFields count="13">
    <pivotField showAll="0"/>
    <pivotField numFmtId="164" showAll="0"/>
    <pivotField showAll="0"/>
    <pivotField axis="axisRow" showAll="0">
      <items count="11">
        <item x="4"/>
        <item x="9"/>
        <item x="7"/>
        <item x="1"/>
        <item x="6"/>
        <item x="0"/>
        <item x="3"/>
        <item x="8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Opening_Stock" fld="10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17161-4FE3-4427-BA9F-7CF4FA50651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53:B64" firstHeaderRow="1" firstDataRow="1" firstDataCol="1"/>
  <pivotFields count="13">
    <pivotField showAll="0"/>
    <pivotField numFmtId="164" showAll="0"/>
    <pivotField showAll="0"/>
    <pivotField axis="axisRow" showAll="0">
      <items count="11">
        <item x="4"/>
        <item x="9"/>
        <item x="7"/>
        <item x="1"/>
        <item x="6"/>
        <item x="0"/>
        <item x="3"/>
        <item x="8"/>
        <item x="5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Selling_Price" fld="9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B87F78-57AE-42E6-9A4A-67B69137A7CC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31:B142" firstHeaderRow="1" firstDataRow="1" firstDataCol="1"/>
  <pivotFields count="13">
    <pivotField showAll="0"/>
    <pivotField numFmtId="164" showAll="0"/>
    <pivotField showAll="0"/>
    <pivotField axis="axisRow" showAll="0">
      <items count="11">
        <item x="4"/>
        <item x="9"/>
        <item x="7"/>
        <item x="1"/>
        <item x="6"/>
        <item x="0"/>
        <item x="3"/>
        <item x="8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59C03-DA12-496B-967E-D879350687F0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14:B125" firstHeaderRow="1" firstDataRow="1" firstDataCol="1"/>
  <pivotFields count="13">
    <pivotField showAll="0"/>
    <pivotField numFmtId="164" showAll="0"/>
    <pivotField showAll="0"/>
    <pivotField axis="axisRow" showAll="0">
      <items count="11">
        <item x="4"/>
        <item x="9"/>
        <item x="7"/>
        <item x="1"/>
        <item x="6"/>
        <item x="0"/>
        <item x="3"/>
        <item x="8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Max of Closing_Stock" fld="11" subtotal="max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478B3-FF27-427C-9107-C321E4A11A9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5:B46" firstHeaderRow="1" firstDataRow="1" firstDataCol="1"/>
  <pivotFields count="13">
    <pivotField showAll="0"/>
    <pivotField numFmtId="164" showAll="0"/>
    <pivotField showAll="0"/>
    <pivotField axis="axisRow" showAll="0">
      <items count="11">
        <item x="4"/>
        <item x="9"/>
        <item x="7"/>
        <item x="1"/>
        <item x="6"/>
        <item x="0"/>
        <item x="3"/>
        <item x="8"/>
        <item x="5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MRP" fld="8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15B2F-28E2-4FB1-A870-C0A0F4F8F770}">
  <dimension ref="A3:H142"/>
  <sheetViews>
    <sheetView tabSelected="1" workbookViewId="0">
      <selection activeCell="B136" sqref="B136"/>
    </sheetView>
  </sheetViews>
  <sheetFormatPr defaultRowHeight="14.4" x14ac:dyDescent="0.3"/>
  <cols>
    <col min="1" max="1" width="16.109375" bestFit="1" customWidth="1"/>
    <col min="2" max="2" width="14.88671875" bestFit="1" customWidth="1"/>
    <col min="3" max="3" width="25" bestFit="1" customWidth="1"/>
    <col min="4" max="4" width="14.88671875" bestFit="1" customWidth="1"/>
    <col min="5" max="5" width="19.21875" bestFit="1" customWidth="1"/>
    <col min="6" max="6" width="20.33203125" bestFit="1" customWidth="1"/>
    <col min="7" max="10" width="19.21875" bestFit="1" customWidth="1"/>
  </cols>
  <sheetData>
    <row r="3" spans="1:8" x14ac:dyDescent="0.3">
      <c r="A3" s="3" t="s">
        <v>228</v>
      </c>
      <c r="B3" t="s">
        <v>230</v>
      </c>
    </row>
    <row r="4" spans="1:8" x14ac:dyDescent="0.3">
      <c r="A4" s="4" t="s">
        <v>32</v>
      </c>
      <c r="B4">
        <v>313</v>
      </c>
    </row>
    <row r="5" spans="1:8" x14ac:dyDescent="0.3">
      <c r="A5" s="4" t="s">
        <v>80</v>
      </c>
      <c r="B5">
        <v>323</v>
      </c>
    </row>
    <row r="6" spans="1:8" x14ac:dyDescent="0.3">
      <c r="A6" s="4" t="s">
        <v>43</v>
      </c>
      <c r="B6">
        <v>490</v>
      </c>
    </row>
    <row r="7" spans="1:8" x14ac:dyDescent="0.3">
      <c r="A7" s="4" t="s">
        <v>19</v>
      </c>
      <c r="B7">
        <v>140</v>
      </c>
    </row>
    <row r="8" spans="1:8" x14ac:dyDescent="0.3">
      <c r="A8" s="4" t="s">
        <v>40</v>
      </c>
      <c r="B8">
        <v>159</v>
      </c>
    </row>
    <row r="9" spans="1:8" x14ac:dyDescent="0.3">
      <c r="A9" s="4" t="s">
        <v>14</v>
      </c>
      <c r="B9">
        <v>319</v>
      </c>
    </row>
    <row r="10" spans="1:8" x14ac:dyDescent="0.3">
      <c r="A10" s="4" t="s">
        <v>28</v>
      </c>
      <c r="B10">
        <v>904</v>
      </c>
    </row>
    <row r="11" spans="1:8" x14ac:dyDescent="0.3">
      <c r="A11" s="4" t="s">
        <v>56</v>
      </c>
      <c r="B11">
        <v>455</v>
      </c>
    </row>
    <row r="12" spans="1:8" x14ac:dyDescent="0.3">
      <c r="A12" s="4" t="s">
        <v>37</v>
      </c>
      <c r="B12">
        <v>394</v>
      </c>
    </row>
    <row r="13" spans="1:8" x14ac:dyDescent="0.3">
      <c r="A13" s="4" t="s">
        <v>23</v>
      </c>
      <c r="B13">
        <v>523</v>
      </c>
    </row>
    <row r="14" spans="1:8" x14ac:dyDescent="0.3">
      <c r="A14" s="4" t="s">
        <v>229</v>
      </c>
      <c r="B14">
        <v>4020</v>
      </c>
    </row>
    <row r="16" spans="1:8" x14ac:dyDescent="0.3">
      <c r="H16" t="s">
        <v>236</v>
      </c>
    </row>
    <row r="18" spans="1:2" x14ac:dyDescent="0.3">
      <c r="A18" s="3" t="s">
        <v>228</v>
      </c>
      <c r="B18" t="s">
        <v>231</v>
      </c>
    </row>
    <row r="19" spans="1:2" x14ac:dyDescent="0.3">
      <c r="A19" s="4" t="s">
        <v>32</v>
      </c>
      <c r="B19">
        <v>52</v>
      </c>
    </row>
    <row r="20" spans="1:2" x14ac:dyDescent="0.3">
      <c r="A20" s="4" t="s">
        <v>80</v>
      </c>
      <c r="B20">
        <v>45</v>
      </c>
    </row>
    <row r="21" spans="1:2" x14ac:dyDescent="0.3">
      <c r="A21" s="4" t="s">
        <v>43</v>
      </c>
      <c r="B21">
        <v>58</v>
      </c>
    </row>
    <row r="22" spans="1:2" x14ac:dyDescent="0.3">
      <c r="A22" s="4" t="s">
        <v>19</v>
      </c>
      <c r="B22">
        <v>55</v>
      </c>
    </row>
    <row r="23" spans="1:2" x14ac:dyDescent="0.3">
      <c r="A23" s="4" t="s">
        <v>40</v>
      </c>
      <c r="B23">
        <v>140</v>
      </c>
    </row>
    <row r="24" spans="1:2" x14ac:dyDescent="0.3">
      <c r="A24" s="4" t="s">
        <v>14</v>
      </c>
      <c r="B24">
        <v>48</v>
      </c>
    </row>
    <row r="25" spans="1:2" x14ac:dyDescent="0.3">
      <c r="A25" s="4" t="s">
        <v>28</v>
      </c>
      <c r="B25">
        <v>40</v>
      </c>
    </row>
    <row r="26" spans="1:2" x14ac:dyDescent="0.3">
      <c r="A26" s="4" t="s">
        <v>56</v>
      </c>
      <c r="B26">
        <v>46</v>
      </c>
    </row>
    <row r="27" spans="1:2" x14ac:dyDescent="0.3">
      <c r="A27" s="4" t="s">
        <v>37</v>
      </c>
      <c r="B27">
        <v>50</v>
      </c>
    </row>
    <row r="28" spans="1:2" x14ac:dyDescent="0.3">
      <c r="A28" s="4" t="s">
        <v>23</v>
      </c>
      <c r="B28">
        <v>60</v>
      </c>
    </row>
    <row r="29" spans="1:2" x14ac:dyDescent="0.3">
      <c r="A29" s="4" t="s">
        <v>229</v>
      </c>
      <c r="B29">
        <v>58.822222222222223</v>
      </c>
    </row>
    <row r="35" spans="1:2" x14ac:dyDescent="0.3">
      <c r="A35" s="3" t="s">
        <v>228</v>
      </c>
      <c r="B35" t="s">
        <v>232</v>
      </c>
    </row>
    <row r="36" spans="1:2" x14ac:dyDescent="0.3">
      <c r="A36" s="4" t="s">
        <v>32</v>
      </c>
      <c r="B36">
        <v>105</v>
      </c>
    </row>
    <row r="37" spans="1:2" x14ac:dyDescent="0.3">
      <c r="A37" s="4" t="s">
        <v>80</v>
      </c>
      <c r="B37">
        <v>90</v>
      </c>
    </row>
    <row r="38" spans="1:2" x14ac:dyDescent="0.3">
      <c r="A38" s="4" t="s">
        <v>43</v>
      </c>
      <c r="B38">
        <v>118</v>
      </c>
    </row>
    <row r="39" spans="1:2" x14ac:dyDescent="0.3">
      <c r="A39" s="4" t="s">
        <v>19</v>
      </c>
      <c r="B39">
        <v>110</v>
      </c>
    </row>
    <row r="40" spans="1:2" x14ac:dyDescent="0.3">
      <c r="A40" s="4" t="s">
        <v>40</v>
      </c>
      <c r="B40">
        <v>260</v>
      </c>
    </row>
    <row r="41" spans="1:2" x14ac:dyDescent="0.3">
      <c r="A41" s="4" t="s">
        <v>14</v>
      </c>
      <c r="B41">
        <v>95</v>
      </c>
    </row>
    <row r="42" spans="1:2" x14ac:dyDescent="0.3">
      <c r="A42" s="4" t="s">
        <v>28</v>
      </c>
      <c r="B42">
        <v>80</v>
      </c>
    </row>
    <row r="43" spans="1:2" x14ac:dyDescent="0.3">
      <c r="A43" s="4" t="s">
        <v>56</v>
      </c>
      <c r="B43">
        <v>92</v>
      </c>
    </row>
    <row r="44" spans="1:2" x14ac:dyDescent="0.3">
      <c r="A44" s="4" t="s">
        <v>37</v>
      </c>
      <c r="B44">
        <v>100</v>
      </c>
    </row>
    <row r="45" spans="1:2" x14ac:dyDescent="0.3">
      <c r="A45" s="4" t="s">
        <v>23</v>
      </c>
      <c r="B45">
        <v>120</v>
      </c>
    </row>
    <row r="46" spans="1:2" x14ac:dyDescent="0.3">
      <c r="A46" s="4" t="s">
        <v>229</v>
      </c>
      <c r="B46">
        <v>116.10555555555555</v>
      </c>
    </row>
    <row r="53" spans="1:2" x14ac:dyDescent="0.3">
      <c r="A53" s="3" t="s">
        <v>228</v>
      </c>
      <c r="B53" t="s">
        <v>233</v>
      </c>
    </row>
    <row r="54" spans="1:2" x14ac:dyDescent="0.3">
      <c r="A54" s="4" t="s">
        <v>32</v>
      </c>
      <c r="B54">
        <v>98</v>
      </c>
    </row>
    <row r="55" spans="1:2" x14ac:dyDescent="0.3">
      <c r="A55" s="4" t="s">
        <v>80</v>
      </c>
      <c r="B55">
        <v>85</v>
      </c>
    </row>
    <row r="56" spans="1:2" x14ac:dyDescent="0.3">
      <c r="A56" s="4" t="s">
        <v>43</v>
      </c>
      <c r="B56">
        <v>110</v>
      </c>
    </row>
    <row r="57" spans="1:2" x14ac:dyDescent="0.3">
      <c r="A57" s="4" t="s">
        <v>19</v>
      </c>
      <c r="B57">
        <v>100</v>
      </c>
    </row>
    <row r="58" spans="1:2" x14ac:dyDescent="0.3">
      <c r="A58" s="4" t="s">
        <v>40</v>
      </c>
      <c r="B58">
        <v>245</v>
      </c>
    </row>
    <row r="59" spans="1:2" x14ac:dyDescent="0.3">
      <c r="A59" s="4" t="s">
        <v>14</v>
      </c>
      <c r="B59">
        <v>90</v>
      </c>
    </row>
    <row r="60" spans="1:2" x14ac:dyDescent="0.3">
      <c r="A60" s="4" t="s">
        <v>28</v>
      </c>
      <c r="B60">
        <v>75</v>
      </c>
    </row>
    <row r="61" spans="1:2" x14ac:dyDescent="0.3">
      <c r="A61" s="4" t="s">
        <v>56</v>
      </c>
      <c r="B61">
        <v>88</v>
      </c>
    </row>
    <row r="62" spans="1:2" x14ac:dyDescent="0.3">
      <c r="A62" s="4" t="s">
        <v>37</v>
      </c>
      <c r="B62">
        <v>94</v>
      </c>
    </row>
    <row r="63" spans="1:2" x14ac:dyDescent="0.3">
      <c r="A63" s="4" t="s">
        <v>23</v>
      </c>
      <c r="B63">
        <v>112</v>
      </c>
    </row>
    <row r="64" spans="1:2" x14ac:dyDescent="0.3">
      <c r="A64" s="4" t="s">
        <v>229</v>
      </c>
      <c r="B64">
        <v>108.73333333333333</v>
      </c>
    </row>
    <row r="68" spans="1:2" x14ac:dyDescent="0.3">
      <c r="A68" s="3" t="s">
        <v>228</v>
      </c>
      <c r="B68" t="s">
        <v>237</v>
      </c>
    </row>
    <row r="69" spans="1:2" x14ac:dyDescent="0.3">
      <c r="A69" s="4" t="s">
        <v>32</v>
      </c>
      <c r="B69">
        <v>102.13333333333334</v>
      </c>
    </row>
    <row r="70" spans="1:2" x14ac:dyDescent="0.3">
      <c r="A70" s="4" t="s">
        <v>80</v>
      </c>
      <c r="B70">
        <v>101.93333333333334</v>
      </c>
    </row>
    <row r="71" spans="1:2" x14ac:dyDescent="0.3">
      <c r="A71" s="4" t="s">
        <v>43</v>
      </c>
      <c r="B71">
        <v>105.40909090909091</v>
      </c>
    </row>
    <row r="72" spans="1:2" x14ac:dyDescent="0.3">
      <c r="A72" s="4" t="s">
        <v>19</v>
      </c>
      <c r="B72">
        <v>149.04347826086956</v>
      </c>
    </row>
    <row r="73" spans="1:2" x14ac:dyDescent="0.3">
      <c r="A73" s="4" t="s">
        <v>40</v>
      </c>
      <c r="B73">
        <v>59</v>
      </c>
    </row>
    <row r="74" spans="1:2" x14ac:dyDescent="0.3">
      <c r="A74" s="4" t="s">
        <v>14</v>
      </c>
      <c r="B74">
        <v>103.625</v>
      </c>
    </row>
    <row r="75" spans="1:2" x14ac:dyDescent="0.3">
      <c r="A75" s="4" t="s">
        <v>28</v>
      </c>
      <c r="B75">
        <v>59.631578947368418</v>
      </c>
    </row>
    <row r="76" spans="1:2" x14ac:dyDescent="0.3">
      <c r="A76" s="4" t="s">
        <v>56</v>
      </c>
      <c r="B76">
        <v>97.78947368421052</v>
      </c>
    </row>
    <row r="77" spans="1:2" x14ac:dyDescent="0.3">
      <c r="A77" s="4" t="s">
        <v>37</v>
      </c>
      <c r="B77">
        <v>96.533333333333331</v>
      </c>
    </row>
    <row r="78" spans="1:2" x14ac:dyDescent="0.3">
      <c r="A78" s="4" t="s">
        <v>23</v>
      </c>
      <c r="B78">
        <v>93.85</v>
      </c>
    </row>
    <row r="79" spans="1:2" x14ac:dyDescent="0.3">
      <c r="A79" s="4" t="s">
        <v>229</v>
      </c>
      <c r="B79">
        <v>98.477777777777774</v>
      </c>
    </row>
    <row r="85" spans="1:2" x14ac:dyDescent="0.3">
      <c r="A85" s="3" t="s">
        <v>228</v>
      </c>
      <c r="B85" t="s">
        <v>239</v>
      </c>
    </row>
    <row r="86" spans="1:2" x14ac:dyDescent="0.3">
      <c r="A86" s="4" t="s">
        <v>32</v>
      </c>
      <c r="B86">
        <v>134</v>
      </c>
    </row>
    <row r="87" spans="1:2" x14ac:dyDescent="0.3">
      <c r="A87" s="4" t="s">
        <v>80</v>
      </c>
      <c r="B87">
        <v>137</v>
      </c>
    </row>
    <row r="88" spans="1:2" x14ac:dyDescent="0.3">
      <c r="A88" s="4" t="s">
        <v>43</v>
      </c>
      <c r="B88">
        <v>137</v>
      </c>
    </row>
    <row r="89" spans="1:2" x14ac:dyDescent="0.3">
      <c r="A89" s="4" t="s">
        <v>19</v>
      </c>
      <c r="B89">
        <v>180</v>
      </c>
    </row>
    <row r="90" spans="1:2" x14ac:dyDescent="0.3">
      <c r="A90" s="4" t="s">
        <v>40</v>
      </c>
      <c r="B90">
        <v>86</v>
      </c>
    </row>
    <row r="91" spans="1:2" x14ac:dyDescent="0.3">
      <c r="A91" s="4" t="s">
        <v>14</v>
      </c>
      <c r="B91">
        <v>138</v>
      </c>
    </row>
    <row r="92" spans="1:2" x14ac:dyDescent="0.3">
      <c r="A92" s="4" t="s">
        <v>28</v>
      </c>
      <c r="B92">
        <v>80</v>
      </c>
    </row>
    <row r="93" spans="1:2" x14ac:dyDescent="0.3">
      <c r="A93" s="4" t="s">
        <v>56</v>
      </c>
      <c r="B93">
        <v>136</v>
      </c>
    </row>
    <row r="94" spans="1:2" x14ac:dyDescent="0.3">
      <c r="A94" s="4" t="s">
        <v>37</v>
      </c>
      <c r="B94">
        <v>140</v>
      </c>
    </row>
    <row r="95" spans="1:2" x14ac:dyDescent="0.3">
      <c r="A95" s="4" t="s">
        <v>23</v>
      </c>
      <c r="B95">
        <v>130</v>
      </c>
    </row>
    <row r="96" spans="1:2" x14ac:dyDescent="0.3">
      <c r="A96" s="4" t="s">
        <v>229</v>
      </c>
      <c r="B96">
        <v>180</v>
      </c>
    </row>
    <row r="99" spans="1:2" x14ac:dyDescent="0.3">
      <c r="A99" s="3" t="s">
        <v>228</v>
      </c>
      <c r="B99" t="s">
        <v>238</v>
      </c>
    </row>
    <row r="100" spans="1:2" x14ac:dyDescent="0.3">
      <c r="A100" s="4" t="s">
        <v>32</v>
      </c>
      <c r="B100">
        <v>81.266666666666666</v>
      </c>
    </row>
    <row r="101" spans="1:2" x14ac:dyDescent="0.3">
      <c r="A101" s="4" t="s">
        <v>80</v>
      </c>
      <c r="B101">
        <v>80.400000000000006</v>
      </c>
    </row>
    <row r="102" spans="1:2" x14ac:dyDescent="0.3">
      <c r="A102" s="4" t="s">
        <v>43</v>
      </c>
      <c r="B102">
        <v>83.13636363636364</v>
      </c>
    </row>
    <row r="103" spans="1:2" x14ac:dyDescent="0.3">
      <c r="A103" s="4" t="s">
        <v>19</v>
      </c>
      <c r="B103">
        <v>142.95652173913044</v>
      </c>
    </row>
    <row r="104" spans="1:2" x14ac:dyDescent="0.3">
      <c r="A104" s="4" t="s">
        <v>40</v>
      </c>
      <c r="B104">
        <v>49.0625</v>
      </c>
    </row>
    <row r="105" spans="1:2" x14ac:dyDescent="0.3">
      <c r="A105" s="4" t="s">
        <v>14</v>
      </c>
      <c r="B105">
        <v>83.6875</v>
      </c>
    </row>
    <row r="106" spans="1:2" x14ac:dyDescent="0.3">
      <c r="A106" s="4" t="s">
        <v>28</v>
      </c>
      <c r="B106">
        <v>13.157894736842104</v>
      </c>
    </row>
    <row r="107" spans="1:2" x14ac:dyDescent="0.3">
      <c r="A107" s="4" t="s">
        <v>56</v>
      </c>
      <c r="B107">
        <v>73.84210526315789</v>
      </c>
    </row>
    <row r="108" spans="1:2" x14ac:dyDescent="0.3">
      <c r="A108" s="4" t="s">
        <v>37</v>
      </c>
      <c r="B108">
        <v>70.266666666666666</v>
      </c>
    </row>
    <row r="109" spans="1:2" x14ac:dyDescent="0.3">
      <c r="A109" s="4" t="s">
        <v>23</v>
      </c>
      <c r="B109">
        <v>67.7</v>
      </c>
    </row>
    <row r="110" spans="1:2" x14ac:dyDescent="0.3">
      <c r="A110" s="4" t="s">
        <v>229</v>
      </c>
      <c r="B110">
        <v>76.261111111111106</v>
      </c>
    </row>
    <row r="114" spans="1:2" x14ac:dyDescent="0.3">
      <c r="A114" s="3" t="s">
        <v>228</v>
      </c>
      <c r="B114" t="s">
        <v>240</v>
      </c>
    </row>
    <row r="115" spans="1:2" x14ac:dyDescent="0.3">
      <c r="A115" s="4" t="s">
        <v>32</v>
      </c>
      <c r="B115">
        <v>110</v>
      </c>
    </row>
    <row r="116" spans="1:2" x14ac:dyDescent="0.3">
      <c r="A116" s="4" t="s">
        <v>80</v>
      </c>
      <c r="B116">
        <v>130</v>
      </c>
    </row>
    <row r="117" spans="1:2" x14ac:dyDescent="0.3">
      <c r="A117" s="4" t="s">
        <v>43</v>
      </c>
      <c r="B117">
        <v>128</v>
      </c>
    </row>
    <row r="118" spans="1:2" x14ac:dyDescent="0.3">
      <c r="A118" s="4" t="s">
        <v>19</v>
      </c>
      <c r="B118">
        <v>177</v>
      </c>
    </row>
    <row r="119" spans="1:2" x14ac:dyDescent="0.3">
      <c r="A119" s="4" t="s">
        <v>40</v>
      </c>
      <c r="B119">
        <v>76</v>
      </c>
    </row>
    <row r="120" spans="1:2" x14ac:dyDescent="0.3">
      <c r="A120" s="4" t="s">
        <v>14</v>
      </c>
      <c r="B120">
        <v>123</v>
      </c>
    </row>
    <row r="121" spans="1:2" x14ac:dyDescent="0.3">
      <c r="A121" s="4" t="s">
        <v>28</v>
      </c>
      <c r="B121">
        <v>38</v>
      </c>
    </row>
    <row r="122" spans="1:2" x14ac:dyDescent="0.3">
      <c r="A122" s="4" t="s">
        <v>56</v>
      </c>
      <c r="B122">
        <v>120</v>
      </c>
    </row>
    <row r="123" spans="1:2" x14ac:dyDescent="0.3">
      <c r="A123" s="4" t="s">
        <v>37</v>
      </c>
      <c r="B123">
        <v>117</v>
      </c>
    </row>
    <row r="124" spans="1:2" x14ac:dyDescent="0.3">
      <c r="A124" s="4" t="s">
        <v>23</v>
      </c>
      <c r="B124">
        <v>106</v>
      </c>
    </row>
    <row r="125" spans="1:2" x14ac:dyDescent="0.3">
      <c r="A125" s="4" t="s">
        <v>229</v>
      </c>
      <c r="B125">
        <v>177</v>
      </c>
    </row>
    <row r="131" spans="1:2" x14ac:dyDescent="0.3">
      <c r="A131" s="3" t="s">
        <v>228</v>
      </c>
      <c r="B131" t="s">
        <v>235</v>
      </c>
    </row>
    <row r="132" spans="1:2" x14ac:dyDescent="0.3">
      <c r="A132" s="4" t="s">
        <v>32</v>
      </c>
      <c r="B132">
        <v>30674</v>
      </c>
    </row>
    <row r="133" spans="1:2" x14ac:dyDescent="0.3">
      <c r="A133" s="4" t="s">
        <v>80</v>
      </c>
      <c r="B133">
        <v>27455</v>
      </c>
    </row>
    <row r="134" spans="1:2" x14ac:dyDescent="0.3">
      <c r="A134" s="4" t="s">
        <v>43</v>
      </c>
      <c r="B134">
        <v>53900</v>
      </c>
    </row>
    <row r="135" spans="1:2" x14ac:dyDescent="0.3">
      <c r="A135" s="4" t="s">
        <v>19</v>
      </c>
      <c r="B135">
        <v>14000</v>
      </c>
    </row>
    <row r="136" spans="1:2" x14ac:dyDescent="0.3">
      <c r="A136" s="4" t="s">
        <v>40</v>
      </c>
      <c r="B136">
        <v>38955</v>
      </c>
    </row>
    <row r="137" spans="1:2" x14ac:dyDescent="0.3">
      <c r="A137" s="4" t="s">
        <v>14</v>
      </c>
      <c r="B137">
        <v>28710</v>
      </c>
    </row>
    <row r="138" spans="1:2" x14ac:dyDescent="0.3">
      <c r="A138" s="4" t="s">
        <v>28</v>
      </c>
      <c r="B138">
        <v>67800</v>
      </c>
    </row>
    <row r="139" spans="1:2" x14ac:dyDescent="0.3">
      <c r="A139" s="4" t="s">
        <v>56</v>
      </c>
      <c r="B139">
        <v>40040</v>
      </c>
    </row>
    <row r="140" spans="1:2" x14ac:dyDescent="0.3">
      <c r="A140" s="4" t="s">
        <v>37</v>
      </c>
      <c r="B140">
        <v>37036</v>
      </c>
    </row>
    <row r="141" spans="1:2" x14ac:dyDescent="0.3">
      <c r="A141" s="4" t="s">
        <v>23</v>
      </c>
      <c r="B141">
        <v>58576</v>
      </c>
    </row>
    <row r="142" spans="1:2" x14ac:dyDescent="0.3">
      <c r="A142" s="4" t="s">
        <v>229</v>
      </c>
      <c r="B142">
        <v>397146</v>
      </c>
    </row>
  </sheetData>
  <pageMargins left="0.7" right="0.7" top="0.75" bottom="0.75" header="0.3" footer="0.3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1"/>
  <sheetViews>
    <sheetView topLeftCell="A157" workbookViewId="0">
      <selection sqref="A1:M181"/>
    </sheetView>
  </sheetViews>
  <sheetFormatPr defaultRowHeight="14.4" x14ac:dyDescent="0.3"/>
  <cols>
    <col min="12" max="12" width="13.44140625" customWidth="1"/>
    <col min="18" max="18" width="27.66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234</v>
      </c>
    </row>
    <row r="2" spans="1:18" x14ac:dyDescent="0.3">
      <c r="A2" t="s">
        <v>12</v>
      </c>
      <c r="B2" s="1">
        <v>46154</v>
      </c>
      <c r="C2" t="s">
        <v>13</v>
      </c>
      <c r="D2" t="s">
        <v>14</v>
      </c>
      <c r="E2" t="s">
        <v>15</v>
      </c>
      <c r="F2" t="s">
        <v>16</v>
      </c>
      <c r="G2">
        <v>5</v>
      </c>
      <c r="H2">
        <v>48</v>
      </c>
      <c r="I2">
        <v>95</v>
      </c>
      <c r="J2">
        <v>90</v>
      </c>
      <c r="K2">
        <v>107</v>
      </c>
      <c r="L2">
        <v>102</v>
      </c>
      <c r="M2">
        <f>G2*J2</f>
        <v>450</v>
      </c>
    </row>
    <row r="3" spans="1:18" x14ac:dyDescent="0.3">
      <c r="A3" t="s">
        <v>17</v>
      </c>
      <c r="B3" s="1">
        <v>46029</v>
      </c>
      <c r="C3" t="s">
        <v>18</v>
      </c>
      <c r="D3" t="s">
        <v>19</v>
      </c>
      <c r="E3" t="s">
        <v>20</v>
      </c>
      <c r="F3" t="s">
        <v>16</v>
      </c>
      <c r="G3">
        <v>9</v>
      </c>
      <c r="H3">
        <v>55</v>
      </c>
      <c r="I3">
        <v>110</v>
      </c>
      <c r="J3">
        <v>100</v>
      </c>
      <c r="K3">
        <v>138</v>
      </c>
      <c r="L3">
        <v>129</v>
      </c>
      <c r="M3">
        <f t="shared" ref="M3:M66" si="0">G3*J3</f>
        <v>900</v>
      </c>
    </row>
    <row r="4" spans="1:18" x14ac:dyDescent="0.3">
      <c r="A4" t="s">
        <v>21</v>
      </c>
      <c r="B4" s="1">
        <v>46046</v>
      </c>
      <c r="C4" t="s">
        <v>22</v>
      </c>
      <c r="D4" t="s">
        <v>23</v>
      </c>
      <c r="E4" t="s">
        <v>24</v>
      </c>
      <c r="F4" t="s">
        <v>25</v>
      </c>
      <c r="G4">
        <v>31</v>
      </c>
      <c r="H4">
        <v>60</v>
      </c>
      <c r="I4">
        <v>120</v>
      </c>
      <c r="J4">
        <v>112</v>
      </c>
      <c r="K4">
        <v>100</v>
      </c>
      <c r="L4">
        <v>69</v>
      </c>
      <c r="M4">
        <f t="shared" si="0"/>
        <v>3472</v>
      </c>
    </row>
    <row r="5" spans="1:18" x14ac:dyDescent="0.3">
      <c r="A5" t="s">
        <v>26</v>
      </c>
      <c r="B5" s="1">
        <v>46083</v>
      </c>
      <c r="C5" t="s">
        <v>27</v>
      </c>
      <c r="D5" t="s">
        <v>28</v>
      </c>
      <c r="E5" t="s">
        <v>29</v>
      </c>
      <c r="F5" t="s">
        <v>25</v>
      </c>
      <c r="G5">
        <v>46</v>
      </c>
      <c r="H5">
        <v>40</v>
      </c>
      <c r="I5">
        <v>80</v>
      </c>
      <c r="J5">
        <v>75</v>
      </c>
      <c r="K5">
        <v>55</v>
      </c>
      <c r="L5">
        <v>9</v>
      </c>
      <c r="M5">
        <f t="shared" si="0"/>
        <v>3450</v>
      </c>
    </row>
    <row r="6" spans="1:18" x14ac:dyDescent="0.3">
      <c r="A6" t="s">
        <v>30</v>
      </c>
      <c r="B6" s="1">
        <v>46054</v>
      </c>
      <c r="C6" t="s">
        <v>31</v>
      </c>
      <c r="D6" t="s">
        <v>32</v>
      </c>
      <c r="E6" t="s">
        <v>24</v>
      </c>
      <c r="F6" t="s">
        <v>25</v>
      </c>
      <c r="G6">
        <v>18</v>
      </c>
      <c r="H6">
        <v>52</v>
      </c>
      <c r="I6">
        <v>105</v>
      </c>
      <c r="J6">
        <v>98</v>
      </c>
      <c r="K6">
        <v>87</v>
      </c>
      <c r="L6">
        <v>69</v>
      </c>
      <c r="M6">
        <f t="shared" si="0"/>
        <v>1764</v>
      </c>
    </row>
    <row r="7" spans="1:18" x14ac:dyDescent="0.3">
      <c r="A7" t="s">
        <v>33</v>
      </c>
      <c r="B7" s="1">
        <v>46068</v>
      </c>
      <c r="C7" t="s">
        <v>27</v>
      </c>
      <c r="D7" t="s">
        <v>28</v>
      </c>
      <c r="E7" t="s">
        <v>20</v>
      </c>
      <c r="F7" t="s">
        <v>16</v>
      </c>
      <c r="G7">
        <v>49</v>
      </c>
      <c r="H7">
        <v>40</v>
      </c>
      <c r="I7">
        <v>80</v>
      </c>
      <c r="J7">
        <v>75</v>
      </c>
      <c r="K7">
        <v>59</v>
      </c>
      <c r="L7">
        <v>10</v>
      </c>
      <c r="M7">
        <f t="shared" si="0"/>
        <v>3675</v>
      </c>
      <c r="R7" s="2"/>
    </row>
    <row r="8" spans="1:18" x14ac:dyDescent="0.3">
      <c r="A8" t="s">
        <v>34</v>
      </c>
      <c r="B8" s="1">
        <v>46056</v>
      </c>
      <c r="C8" t="s">
        <v>27</v>
      </c>
      <c r="D8" t="s">
        <v>28</v>
      </c>
      <c r="E8" t="s">
        <v>24</v>
      </c>
      <c r="F8" t="s">
        <v>16</v>
      </c>
      <c r="G8">
        <v>37</v>
      </c>
      <c r="H8">
        <v>40</v>
      </c>
      <c r="I8">
        <v>80</v>
      </c>
      <c r="J8">
        <v>75</v>
      </c>
      <c r="K8">
        <v>56</v>
      </c>
      <c r="L8">
        <v>19</v>
      </c>
      <c r="M8">
        <f t="shared" si="0"/>
        <v>2775</v>
      </c>
      <c r="R8" s="2"/>
    </row>
    <row r="9" spans="1:18" x14ac:dyDescent="0.3">
      <c r="A9" t="s">
        <v>35</v>
      </c>
      <c r="B9" s="1">
        <v>46150</v>
      </c>
      <c r="C9" t="s">
        <v>36</v>
      </c>
      <c r="D9" t="s">
        <v>37</v>
      </c>
      <c r="E9" t="s">
        <v>15</v>
      </c>
      <c r="F9" t="s">
        <v>25</v>
      </c>
      <c r="G9">
        <v>30</v>
      </c>
      <c r="H9">
        <v>50</v>
      </c>
      <c r="I9">
        <v>100</v>
      </c>
      <c r="J9">
        <v>94</v>
      </c>
      <c r="K9">
        <v>122</v>
      </c>
      <c r="L9">
        <v>92</v>
      </c>
      <c r="M9">
        <f t="shared" si="0"/>
        <v>2820</v>
      </c>
      <c r="R9" s="2"/>
    </row>
    <row r="10" spans="1:18" x14ac:dyDescent="0.3">
      <c r="A10" t="s">
        <v>38</v>
      </c>
      <c r="B10" s="1">
        <v>46125</v>
      </c>
      <c r="C10" t="s">
        <v>39</v>
      </c>
      <c r="D10" t="s">
        <v>40</v>
      </c>
      <c r="E10" t="s">
        <v>15</v>
      </c>
      <c r="F10" t="s">
        <v>16</v>
      </c>
      <c r="G10">
        <v>13</v>
      </c>
      <c r="H10">
        <v>140</v>
      </c>
      <c r="I10">
        <v>260</v>
      </c>
      <c r="J10">
        <v>245</v>
      </c>
      <c r="K10">
        <v>69</v>
      </c>
      <c r="L10">
        <v>56</v>
      </c>
      <c r="M10">
        <f t="shared" si="0"/>
        <v>3185</v>
      </c>
    </row>
    <row r="11" spans="1:18" x14ac:dyDescent="0.3">
      <c r="A11" t="s">
        <v>41</v>
      </c>
      <c r="B11" s="1">
        <v>46040</v>
      </c>
      <c r="C11" t="s">
        <v>42</v>
      </c>
      <c r="D11" t="s">
        <v>43</v>
      </c>
      <c r="E11" t="s">
        <v>20</v>
      </c>
      <c r="F11" t="s">
        <v>25</v>
      </c>
      <c r="G11">
        <v>32</v>
      </c>
      <c r="H11">
        <v>58</v>
      </c>
      <c r="I11">
        <v>118</v>
      </c>
      <c r="J11">
        <v>110</v>
      </c>
      <c r="K11">
        <v>100</v>
      </c>
      <c r="L11">
        <v>68</v>
      </c>
      <c r="M11">
        <f t="shared" si="0"/>
        <v>3520</v>
      </c>
    </row>
    <row r="12" spans="1:18" x14ac:dyDescent="0.3">
      <c r="A12" t="s">
        <v>44</v>
      </c>
      <c r="B12" s="1">
        <v>46184</v>
      </c>
      <c r="C12" t="s">
        <v>36</v>
      </c>
      <c r="D12" t="s">
        <v>37</v>
      </c>
      <c r="E12" t="s">
        <v>20</v>
      </c>
      <c r="F12" t="s">
        <v>16</v>
      </c>
      <c r="G12">
        <v>20</v>
      </c>
      <c r="H12">
        <v>50</v>
      </c>
      <c r="I12">
        <v>100</v>
      </c>
      <c r="J12">
        <v>94</v>
      </c>
      <c r="K12">
        <v>73</v>
      </c>
      <c r="L12">
        <v>53</v>
      </c>
      <c r="M12">
        <f t="shared" si="0"/>
        <v>1880</v>
      </c>
    </row>
    <row r="13" spans="1:18" x14ac:dyDescent="0.3">
      <c r="A13" t="s">
        <v>45</v>
      </c>
      <c r="B13" s="1">
        <v>46193</v>
      </c>
      <c r="C13" t="s">
        <v>42</v>
      </c>
      <c r="D13" t="s">
        <v>43</v>
      </c>
      <c r="E13" t="s">
        <v>20</v>
      </c>
      <c r="F13" t="s">
        <v>25</v>
      </c>
      <c r="G13">
        <v>13</v>
      </c>
      <c r="H13">
        <v>58</v>
      </c>
      <c r="I13">
        <v>118</v>
      </c>
      <c r="J13">
        <v>110</v>
      </c>
      <c r="K13">
        <v>60</v>
      </c>
      <c r="L13">
        <v>47</v>
      </c>
      <c r="M13">
        <f t="shared" si="0"/>
        <v>1430</v>
      </c>
    </row>
    <row r="14" spans="1:18" x14ac:dyDescent="0.3">
      <c r="A14" t="s">
        <v>46</v>
      </c>
      <c r="B14" s="1">
        <v>46123</v>
      </c>
      <c r="C14" t="s">
        <v>31</v>
      </c>
      <c r="D14" t="s">
        <v>32</v>
      </c>
      <c r="E14" t="s">
        <v>20</v>
      </c>
      <c r="F14" t="s">
        <v>16</v>
      </c>
      <c r="G14">
        <v>12</v>
      </c>
      <c r="H14">
        <v>52</v>
      </c>
      <c r="I14">
        <v>105</v>
      </c>
      <c r="J14">
        <v>98</v>
      </c>
      <c r="K14">
        <v>122</v>
      </c>
      <c r="L14">
        <v>110</v>
      </c>
      <c r="M14">
        <f t="shared" si="0"/>
        <v>1176</v>
      </c>
    </row>
    <row r="15" spans="1:18" x14ac:dyDescent="0.3">
      <c r="A15" t="s">
        <v>47</v>
      </c>
      <c r="B15" s="1">
        <v>46168</v>
      </c>
      <c r="C15" t="s">
        <v>31</v>
      </c>
      <c r="D15" t="s">
        <v>32</v>
      </c>
      <c r="E15" t="s">
        <v>20</v>
      </c>
      <c r="F15" t="s">
        <v>16</v>
      </c>
      <c r="G15">
        <v>28</v>
      </c>
      <c r="H15">
        <v>52</v>
      </c>
      <c r="I15">
        <v>105</v>
      </c>
      <c r="J15">
        <v>98</v>
      </c>
      <c r="K15">
        <v>126</v>
      </c>
      <c r="L15">
        <v>98</v>
      </c>
      <c r="M15">
        <f t="shared" si="0"/>
        <v>2744</v>
      </c>
    </row>
    <row r="16" spans="1:18" x14ac:dyDescent="0.3">
      <c r="A16" t="s">
        <v>48</v>
      </c>
      <c r="B16" s="1">
        <v>46169</v>
      </c>
      <c r="C16" t="s">
        <v>18</v>
      </c>
      <c r="D16" t="s">
        <v>19</v>
      </c>
      <c r="E16" t="s">
        <v>20</v>
      </c>
      <c r="F16" t="s">
        <v>25</v>
      </c>
      <c r="G16">
        <v>5</v>
      </c>
      <c r="H16">
        <v>55</v>
      </c>
      <c r="I16">
        <v>110</v>
      </c>
      <c r="J16">
        <v>100</v>
      </c>
      <c r="K16">
        <v>135</v>
      </c>
      <c r="L16">
        <v>130</v>
      </c>
      <c r="M16">
        <f t="shared" si="0"/>
        <v>500</v>
      </c>
    </row>
    <row r="17" spans="1:13" x14ac:dyDescent="0.3">
      <c r="A17" t="s">
        <v>49</v>
      </c>
      <c r="B17" s="1">
        <v>46135</v>
      </c>
      <c r="C17" t="s">
        <v>39</v>
      </c>
      <c r="D17" t="s">
        <v>40</v>
      </c>
      <c r="E17" t="s">
        <v>29</v>
      </c>
      <c r="F17" t="s">
        <v>25</v>
      </c>
      <c r="G17">
        <v>14</v>
      </c>
      <c r="H17">
        <v>140</v>
      </c>
      <c r="I17">
        <v>260</v>
      </c>
      <c r="J17">
        <v>245</v>
      </c>
      <c r="K17">
        <v>63</v>
      </c>
      <c r="L17">
        <v>49</v>
      </c>
      <c r="M17">
        <f t="shared" si="0"/>
        <v>3430</v>
      </c>
    </row>
    <row r="18" spans="1:13" x14ac:dyDescent="0.3">
      <c r="A18" t="s">
        <v>50</v>
      </c>
      <c r="B18" s="1">
        <v>46152</v>
      </c>
      <c r="C18" t="s">
        <v>36</v>
      </c>
      <c r="D18" t="s">
        <v>37</v>
      </c>
      <c r="E18" t="s">
        <v>15</v>
      </c>
      <c r="F18" t="s">
        <v>25</v>
      </c>
      <c r="G18">
        <v>17</v>
      </c>
      <c r="H18">
        <v>50</v>
      </c>
      <c r="I18">
        <v>100</v>
      </c>
      <c r="J18">
        <v>94</v>
      </c>
      <c r="K18">
        <v>76</v>
      </c>
      <c r="L18">
        <v>59</v>
      </c>
      <c r="M18">
        <f t="shared" si="0"/>
        <v>1598</v>
      </c>
    </row>
    <row r="19" spans="1:13" x14ac:dyDescent="0.3">
      <c r="A19" t="s">
        <v>51</v>
      </c>
      <c r="B19" s="1">
        <v>46058</v>
      </c>
      <c r="C19" t="s">
        <v>31</v>
      </c>
      <c r="D19" t="s">
        <v>32</v>
      </c>
      <c r="E19" t="s">
        <v>15</v>
      </c>
      <c r="F19" t="s">
        <v>16</v>
      </c>
      <c r="G19">
        <v>17</v>
      </c>
      <c r="H19">
        <v>52</v>
      </c>
      <c r="I19">
        <v>105</v>
      </c>
      <c r="J19">
        <v>98</v>
      </c>
      <c r="K19">
        <v>63</v>
      </c>
      <c r="L19">
        <v>46</v>
      </c>
      <c r="M19">
        <f t="shared" si="0"/>
        <v>1666</v>
      </c>
    </row>
    <row r="20" spans="1:13" x14ac:dyDescent="0.3">
      <c r="A20" t="s">
        <v>52</v>
      </c>
      <c r="B20" s="1">
        <v>46059</v>
      </c>
      <c r="C20" t="s">
        <v>18</v>
      </c>
      <c r="D20" t="s">
        <v>19</v>
      </c>
      <c r="E20" t="s">
        <v>29</v>
      </c>
      <c r="F20" t="s">
        <v>25</v>
      </c>
      <c r="G20">
        <v>3</v>
      </c>
      <c r="H20">
        <v>55</v>
      </c>
      <c r="I20">
        <v>110</v>
      </c>
      <c r="J20">
        <v>100</v>
      </c>
      <c r="K20">
        <v>138</v>
      </c>
      <c r="L20">
        <v>135</v>
      </c>
      <c r="M20">
        <f t="shared" si="0"/>
        <v>300</v>
      </c>
    </row>
    <row r="21" spans="1:13" x14ac:dyDescent="0.3">
      <c r="A21" t="s">
        <v>53</v>
      </c>
      <c r="B21" s="1">
        <v>46174</v>
      </c>
      <c r="C21" t="s">
        <v>13</v>
      </c>
      <c r="D21" t="s">
        <v>14</v>
      </c>
      <c r="E21" t="s">
        <v>24</v>
      </c>
      <c r="F21" t="s">
        <v>16</v>
      </c>
      <c r="G21">
        <v>11</v>
      </c>
      <c r="H21">
        <v>48</v>
      </c>
      <c r="I21">
        <v>95</v>
      </c>
      <c r="J21">
        <v>90</v>
      </c>
      <c r="K21">
        <v>134</v>
      </c>
      <c r="L21">
        <v>123</v>
      </c>
      <c r="M21">
        <f t="shared" si="0"/>
        <v>990</v>
      </c>
    </row>
    <row r="22" spans="1:13" x14ac:dyDescent="0.3">
      <c r="A22" t="s">
        <v>54</v>
      </c>
      <c r="B22" s="1">
        <v>46076</v>
      </c>
      <c r="C22" t="s">
        <v>55</v>
      </c>
      <c r="D22" t="s">
        <v>56</v>
      </c>
      <c r="E22" t="s">
        <v>24</v>
      </c>
      <c r="F22" t="s">
        <v>16</v>
      </c>
      <c r="G22">
        <v>37</v>
      </c>
      <c r="H22">
        <v>46</v>
      </c>
      <c r="I22">
        <v>92</v>
      </c>
      <c r="J22">
        <v>88</v>
      </c>
      <c r="K22">
        <v>74</v>
      </c>
      <c r="L22">
        <v>37</v>
      </c>
      <c r="M22">
        <f t="shared" si="0"/>
        <v>3256</v>
      </c>
    </row>
    <row r="23" spans="1:13" x14ac:dyDescent="0.3">
      <c r="A23" t="s">
        <v>57</v>
      </c>
      <c r="B23" s="1">
        <v>46035</v>
      </c>
      <c r="C23" t="s">
        <v>42</v>
      </c>
      <c r="D23" t="s">
        <v>43</v>
      </c>
      <c r="E23" t="s">
        <v>29</v>
      </c>
      <c r="F23" t="s">
        <v>25</v>
      </c>
      <c r="G23">
        <v>5</v>
      </c>
      <c r="H23">
        <v>58</v>
      </c>
      <c r="I23">
        <v>118</v>
      </c>
      <c r="J23">
        <v>110</v>
      </c>
      <c r="K23">
        <v>133</v>
      </c>
      <c r="L23">
        <v>128</v>
      </c>
      <c r="M23">
        <f t="shared" si="0"/>
        <v>550</v>
      </c>
    </row>
    <row r="24" spans="1:13" x14ac:dyDescent="0.3">
      <c r="A24" t="s">
        <v>58</v>
      </c>
      <c r="B24" s="1">
        <v>46127</v>
      </c>
      <c r="C24" t="s">
        <v>31</v>
      </c>
      <c r="D24" t="s">
        <v>32</v>
      </c>
      <c r="E24" t="s">
        <v>20</v>
      </c>
      <c r="F24" t="s">
        <v>25</v>
      </c>
      <c r="G24">
        <v>9</v>
      </c>
      <c r="H24">
        <v>52</v>
      </c>
      <c r="I24">
        <v>105</v>
      </c>
      <c r="J24">
        <v>98</v>
      </c>
      <c r="K24">
        <v>98</v>
      </c>
      <c r="L24">
        <v>89</v>
      </c>
      <c r="M24">
        <f t="shared" si="0"/>
        <v>882</v>
      </c>
    </row>
    <row r="25" spans="1:13" x14ac:dyDescent="0.3">
      <c r="A25" t="s">
        <v>59</v>
      </c>
      <c r="B25" s="1">
        <v>46098</v>
      </c>
      <c r="C25" t="s">
        <v>42</v>
      </c>
      <c r="D25" t="s">
        <v>43</v>
      </c>
      <c r="E25" t="s">
        <v>15</v>
      </c>
      <c r="F25" t="s">
        <v>16</v>
      </c>
      <c r="G25">
        <v>21</v>
      </c>
      <c r="H25">
        <v>58</v>
      </c>
      <c r="I25">
        <v>118</v>
      </c>
      <c r="J25">
        <v>110</v>
      </c>
      <c r="K25">
        <v>87</v>
      </c>
      <c r="L25">
        <v>66</v>
      </c>
      <c r="M25">
        <f t="shared" si="0"/>
        <v>2310</v>
      </c>
    </row>
    <row r="26" spans="1:13" x14ac:dyDescent="0.3">
      <c r="A26" t="s">
        <v>60</v>
      </c>
      <c r="B26" s="1">
        <v>46130</v>
      </c>
      <c r="C26" t="s">
        <v>13</v>
      </c>
      <c r="D26" t="s">
        <v>14</v>
      </c>
      <c r="E26" t="s">
        <v>29</v>
      </c>
      <c r="F26" t="s">
        <v>25</v>
      </c>
      <c r="G26">
        <v>24</v>
      </c>
      <c r="H26">
        <v>48</v>
      </c>
      <c r="I26">
        <v>95</v>
      </c>
      <c r="J26">
        <v>90</v>
      </c>
      <c r="K26">
        <v>91</v>
      </c>
      <c r="L26">
        <v>67</v>
      </c>
      <c r="M26">
        <f t="shared" si="0"/>
        <v>2160</v>
      </c>
    </row>
    <row r="27" spans="1:13" x14ac:dyDescent="0.3">
      <c r="A27" t="s">
        <v>61</v>
      </c>
      <c r="B27" s="1">
        <v>46107</v>
      </c>
      <c r="C27" t="s">
        <v>22</v>
      </c>
      <c r="D27" t="s">
        <v>23</v>
      </c>
      <c r="E27" t="s">
        <v>24</v>
      </c>
      <c r="F27" t="s">
        <v>25</v>
      </c>
      <c r="G27">
        <v>39</v>
      </c>
      <c r="H27">
        <v>60</v>
      </c>
      <c r="I27">
        <v>120</v>
      </c>
      <c r="J27">
        <v>112</v>
      </c>
      <c r="K27">
        <v>99</v>
      </c>
      <c r="L27">
        <v>60</v>
      </c>
      <c r="M27">
        <f t="shared" si="0"/>
        <v>4368</v>
      </c>
    </row>
    <row r="28" spans="1:13" x14ac:dyDescent="0.3">
      <c r="A28" t="s">
        <v>62</v>
      </c>
      <c r="B28" s="1">
        <v>46189</v>
      </c>
      <c r="C28" t="s">
        <v>22</v>
      </c>
      <c r="D28" t="s">
        <v>23</v>
      </c>
      <c r="E28" t="s">
        <v>15</v>
      </c>
      <c r="F28" t="s">
        <v>16</v>
      </c>
      <c r="G28">
        <v>11</v>
      </c>
      <c r="H28">
        <v>60</v>
      </c>
      <c r="I28">
        <v>120</v>
      </c>
      <c r="J28">
        <v>112</v>
      </c>
      <c r="K28">
        <v>111</v>
      </c>
      <c r="L28">
        <v>100</v>
      </c>
      <c r="M28">
        <f t="shared" si="0"/>
        <v>1232</v>
      </c>
    </row>
    <row r="29" spans="1:13" x14ac:dyDescent="0.3">
      <c r="A29" t="s">
        <v>63</v>
      </c>
      <c r="B29" s="1">
        <v>46153</v>
      </c>
      <c r="C29" t="s">
        <v>18</v>
      </c>
      <c r="D29" t="s">
        <v>19</v>
      </c>
      <c r="E29" t="s">
        <v>24</v>
      </c>
      <c r="F29" t="s">
        <v>16</v>
      </c>
      <c r="G29">
        <v>3</v>
      </c>
      <c r="H29">
        <v>55</v>
      </c>
      <c r="I29">
        <v>110</v>
      </c>
      <c r="J29">
        <v>100</v>
      </c>
      <c r="K29">
        <v>180</v>
      </c>
      <c r="L29">
        <v>177</v>
      </c>
      <c r="M29">
        <f t="shared" si="0"/>
        <v>300</v>
      </c>
    </row>
    <row r="30" spans="1:13" x14ac:dyDescent="0.3">
      <c r="A30" t="s">
        <v>64</v>
      </c>
      <c r="B30" s="1">
        <v>46076</v>
      </c>
      <c r="C30" t="s">
        <v>18</v>
      </c>
      <c r="D30" t="s">
        <v>19</v>
      </c>
      <c r="E30" t="s">
        <v>65</v>
      </c>
      <c r="F30" t="s">
        <v>16</v>
      </c>
      <c r="G30">
        <v>7</v>
      </c>
      <c r="H30">
        <v>55</v>
      </c>
      <c r="I30">
        <v>110</v>
      </c>
      <c r="J30">
        <v>100</v>
      </c>
      <c r="K30">
        <v>169</v>
      </c>
      <c r="L30">
        <v>162</v>
      </c>
      <c r="M30">
        <f t="shared" si="0"/>
        <v>700</v>
      </c>
    </row>
    <row r="31" spans="1:13" x14ac:dyDescent="0.3">
      <c r="A31" t="s">
        <v>66</v>
      </c>
      <c r="B31" s="1">
        <v>46146</v>
      </c>
      <c r="C31" t="s">
        <v>22</v>
      </c>
      <c r="D31" t="s">
        <v>23</v>
      </c>
      <c r="E31" t="s">
        <v>20</v>
      </c>
      <c r="F31" t="s">
        <v>16</v>
      </c>
      <c r="G31">
        <v>36</v>
      </c>
      <c r="H31">
        <v>60</v>
      </c>
      <c r="I31">
        <v>120</v>
      </c>
      <c r="J31">
        <v>112</v>
      </c>
      <c r="K31">
        <v>71</v>
      </c>
      <c r="L31">
        <v>35</v>
      </c>
      <c r="M31">
        <f t="shared" si="0"/>
        <v>4032</v>
      </c>
    </row>
    <row r="32" spans="1:13" x14ac:dyDescent="0.3">
      <c r="A32" t="s">
        <v>67</v>
      </c>
      <c r="B32" s="1">
        <v>46065</v>
      </c>
      <c r="C32" t="s">
        <v>36</v>
      </c>
      <c r="D32" t="s">
        <v>37</v>
      </c>
      <c r="E32" t="s">
        <v>15</v>
      </c>
      <c r="F32" t="s">
        <v>25</v>
      </c>
      <c r="G32">
        <v>37</v>
      </c>
      <c r="H32">
        <v>50</v>
      </c>
      <c r="I32">
        <v>100</v>
      </c>
      <c r="J32">
        <v>94</v>
      </c>
      <c r="K32">
        <v>100</v>
      </c>
      <c r="L32">
        <v>63</v>
      </c>
      <c r="M32">
        <f t="shared" si="0"/>
        <v>3478</v>
      </c>
    </row>
    <row r="33" spans="1:13" x14ac:dyDescent="0.3">
      <c r="A33" t="s">
        <v>68</v>
      </c>
      <c r="B33" s="1">
        <v>46123</v>
      </c>
      <c r="C33" t="s">
        <v>18</v>
      </c>
      <c r="D33" t="s">
        <v>19</v>
      </c>
      <c r="E33" t="s">
        <v>24</v>
      </c>
      <c r="F33" t="s">
        <v>16</v>
      </c>
      <c r="G33">
        <v>9</v>
      </c>
      <c r="H33">
        <v>55</v>
      </c>
      <c r="I33">
        <v>110</v>
      </c>
      <c r="J33">
        <v>100</v>
      </c>
      <c r="K33">
        <v>124</v>
      </c>
      <c r="L33">
        <v>115</v>
      </c>
      <c r="M33">
        <f t="shared" si="0"/>
        <v>900</v>
      </c>
    </row>
    <row r="34" spans="1:13" x14ac:dyDescent="0.3">
      <c r="A34" t="s">
        <v>69</v>
      </c>
      <c r="B34" s="1">
        <v>46163</v>
      </c>
      <c r="C34" t="s">
        <v>39</v>
      </c>
      <c r="D34" t="s">
        <v>40</v>
      </c>
      <c r="E34" t="s">
        <v>29</v>
      </c>
      <c r="F34" t="s">
        <v>25</v>
      </c>
      <c r="G34">
        <v>2</v>
      </c>
      <c r="H34">
        <v>140</v>
      </c>
      <c r="I34">
        <v>260</v>
      </c>
      <c r="J34">
        <v>245</v>
      </c>
      <c r="K34">
        <v>49</v>
      </c>
      <c r="L34">
        <v>47</v>
      </c>
      <c r="M34">
        <f t="shared" si="0"/>
        <v>490</v>
      </c>
    </row>
    <row r="35" spans="1:13" x14ac:dyDescent="0.3">
      <c r="A35" t="s">
        <v>70</v>
      </c>
      <c r="B35" s="1">
        <v>46089</v>
      </c>
      <c r="C35" t="s">
        <v>18</v>
      </c>
      <c r="D35" t="s">
        <v>19</v>
      </c>
      <c r="E35" t="s">
        <v>15</v>
      </c>
      <c r="F35" t="s">
        <v>25</v>
      </c>
      <c r="G35">
        <v>7</v>
      </c>
      <c r="H35">
        <v>55</v>
      </c>
      <c r="I35">
        <v>110</v>
      </c>
      <c r="J35">
        <v>100</v>
      </c>
      <c r="K35">
        <v>175</v>
      </c>
      <c r="L35">
        <v>168</v>
      </c>
      <c r="M35">
        <f t="shared" si="0"/>
        <v>700</v>
      </c>
    </row>
    <row r="36" spans="1:13" x14ac:dyDescent="0.3">
      <c r="A36" t="s">
        <v>71</v>
      </c>
      <c r="B36" s="1">
        <v>46188</v>
      </c>
      <c r="C36" t="s">
        <v>55</v>
      </c>
      <c r="D36" t="s">
        <v>56</v>
      </c>
      <c r="E36" t="s">
        <v>20</v>
      </c>
      <c r="F36" t="s">
        <v>25</v>
      </c>
      <c r="G36">
        <v>23</v>
      </c>
      <c r="H36">
        <v>46</v>
      </c>
      <c r="I36">
        <v>92</v>
      </c>
      <c r="J36">
        <v>88</v>
      </c>
      <c r="K36">
        <v>108</v>
      </c>
      <c r="L36">
        <v>85</v>
      </c>
      <c r="M36">
        <f t="shared" si="0"/>
        <v>2024</v>
      </c>
    </row>
    <row r="37" spans="1:13" x14ac:dyDescent="0.3">
      <c r="A37" t="s">
        <v>72</v>
      </c>
      <c r="B37" s="1">
        <v>46129</v>
      </c>
      <c r="C37" t="s">
        <v>18</v>
      </c>
      <c r="D37" t="s">
        <v>19</v>
      </c>
      <c r="E37" t="s">
        <v>65</v>
      </c>
      <c r="F37" t="s">
        <v>25</v>
      </c>
      <c r="G37">
        <v>8</v>
      </c>
      <c r="H37">
        <v>55</v>
      </c>
      <c r="I37">
        <v>110</v>
      </c>
      <c r="J37">
        <v>100</v>
      </c>
      <c r="K37">
        <v>135</v>
      </c>
      <c r="L37">
        <v>127</v>
      </c>
      <c r="M37">
        <f t="shared" si="0"/>
        <v>800</v>
      </c>
    </row>
    <row r="38" spans="1:13" x14ac:dyDescent="0.3">
      <c r="A38" t="s">
        <v>73</v>
      </c>
      <c r="B38" s="1">
        <v>46179</v>
      </c>
      <c r="C38" t="s">
        <v>13</v>
      </c>
      <c r="D38" t="s">
        <v>14</v>
      </c>
      <c r="E38" t="s">
        <v>20</v>
      </c>
      <c r="F38" t="s">
        <v>25</v>
      </c>
      <c r="G38">
        <v>19</v>
      </c>
      <c r="H38">
        <v>48</v>
      </c>
      <c r="I38">
        <v>95</v>
      </c>
      <c r="J38">
        <v>90</v>
      </c>
      <c r="K38">
        <v>70</v>
      </c>
      <c r="L38">
        <v>51</v>
      </c>
      <c r="M38">
        <f t="shared" si="0"/>
        <v>1710</v>
      </c>
    </row>
    <row r="39" spans="1:13" x14ac:dyDescent="0.3">
      <c r="A39" t="s">
        <v>74</v>
      </c>
      <c r="B39" s="1">
        <v>46128</v>
      </c>
      <c r="C39" t="s">
        <v>42</v>
      </c>
      <c r="D39" t="s">
        <v>43</v>
      </c>
      <c r="E39" t="s">
        <v>65</v>
      </c>
      <c r="F39" t="s">
        <v>25</v>
      </c>
      <c r="G39">
        <v>16</v>
      </c>
      <c r="H39">
        <v>58</v>
      </c>
      <c r="I39">
        <v>118</v>
      </c>
      <c r="J39">
        <v>110</v>
      </c>
      <c r="K39">
        <v>126</v>
      </c>
      <c r="L39">
        <v>110</v>
      </c>
      <c r="M39">
        <f t="shared" si="0"/>
        <v>1760</v>
      </c>
    </row>
    <row r="40" spans="1:13" x14ac:dyDescent="0.3">
      <c r="A40" t="s">
        <v>75</v>
      </c>
      <c r="B40" s="1">
        <v>46132</v>
      </c>
      <c r="C40" t="s">
        <v>18</v>
      </c>
      <c r="D40" t="s">
        <v>19</v>
      </c>
      <c r="E40" t="s">
        <v>15</v>
      </c>
      <c r="F40" t="s">
        <v>16</v>
      </c>
      <c r="G40">
        <v>7</v>
      </c>
      <c r="H40">
        <v>55</v>
      </c>
      <c r="I40">
        <v>110</v>
      </c>
      <c r="J40">
        <v>100</v>
      </c>
      <c r="K40">
        <v>147</v>
      </c>
      <c r="L40">
        <v>140</v>
      </c>
      <c r="M40">
        <f t="shared" si="0"/>
        <v>700</v>
      </c>
    </row>
    <row r="41" spans="1:13" x14ac:dyDescent="0.3">
      <c r="A41" t="s">
        <v>76</v>
      </c>
      <c r="B41" s="1">
        <v>46088</v>
      </c>
      <c r="C41" t="s">
        <v>22</v>
      </c>
      <c r="D41" t="s">
        <v>23</v>
      </c>
      <c r="E41" t="s">
        <v>29</v>
      </c>
      <c r="F41" t="s">
        <v>25</v>
      </c>
      <c r="G41">
        <v>30</v>
      </c>
      <c r="H41">
        <v>60</v>
      </c>
      <c r="I41">
        <v>120</v>
      </c>
      <c r="J41">
        <v>112</v>
      </c>
      <c r="K41">
        <v>127</v>
      </c>
      <c r="L41">
        <v>97</v>
      </c>
      <c r="M41">
        <f t="shared" si="0"/>
        <v>3360</v>
      </c>
    </row>
    <row r="42" spans="1:13" x14ac:dyDescent="0.3">
      <c r="A42" t="s">
        <v>77</v>
      </c>
      <c r="B42" s="1">
        <v>46115</v>
      </c>
      <c r="C42" t="s">
        <v>39</v>
      </c>
      <c r="D42" t="s">
        <v>40</v>
      </c>
      <c r="E42" t="s">
        <v>24</v>
      </c>
      <c r="F42" t="s">
        <v>25</v>
      </c>
      <c r="G42">
        <v>13</v>
      </c>
      <c r="H42">
        <v>140</v>
      </c>
      <c r="I42">
        <v>260</v>
      </c>
      <c r="J42">
        <v>245</v>
      </c>
      <c r="K42">
        <v>40</v>
      </c>
      <c r="L42">
        <v>27</v>
      </c>
      <c r="M42">
        <f t="shared" si="0"/>
        <v>3185</v>
      </c>
    </row>
    <row r="43" spans="1:13" x14ac:dyDescent="0.3">
      <c r="A43" t="s">
        <v>78</v>
      </c>
      <c r="B43" s="1">
        <v>46029</v>
      </c>
      <c r="C43" t="s">
        <v>79</v>
      </c>
      <c r="D43" t="s">
        <v>80</v>
      </c>
      <c r="E43" t="s">
        <v>24</v>
      </c>
      <c r="F43" t="s">
        <v>25</v>
      </c>
      <c r="G43">
        <v>31</v>
      </c>
      <c r="H43">
        <v>45</v>
      </c>
      <c r="I43">
        <v>90</v>
      </c>
      <c r="J43">
        <v>85</v>
      </c>
      <c r="K43">
        <v>65</v>
      </c>
      <c r="L43">
        <v>34</v>
      </c>
      <c r="M43">
        <f t="shared" si="0"/>
        <v>2635</v>
      </c>
    </row>
    <row r="44" spans="1:13" x14ac:dyDescent="0.3">
      <c r="A44" t="s">
        <v>81</v>
      </c>
      <c r="B44" s="1">
        <v>46190</v>
      </c>
      <c r="C44" t="s">
        <v>13</v>
      </c>
      <c r="D44" t="s">
        <v>14</v>
      </c>
      <c r="E44" t="s">
        <v>15</v>
      </c>
      <c r="F44" t="s">
        <v>25</v>
      </c>
      <c r="G44">
        <v>29</v>
      </c>
      <c r="H44">
        <v>48</v>
      </c>
      <c r="I44">
        <v>95</v>
      </c>
      <c r="J44">
        <v>90</v>
      </c>
      <c r="K44">
        <v>80</v>
      </c>
      <c r="L44">
        <v>51</v>
      </c>
      <c r="M44">
        <f t="shared" si="0"/>
        <v>2610</v>
      </c>
    </row>
    <row r="45" spans="1:13" x14ac:dyDescent="0.3">
      <c r="A45" t="s">
        <v>82</v>
      </c>
      <c r="B45" s="1">
        <v>46076</v>
      </c>
      <c r="C45" t="s">
        <v>55</v>
      </c>
      <c r="D45" t="s">
        <v>56</v>
      </c>
      <c r="E45" t="s">
        <v>29</v>
      </c>
      <c r="F45" t="s">
        <v>16</v>
      </c>
      <c r="G45">
        <v>35</v>
      </c>
      <c r="H45">
        <v>46</v>
      </c>
      <c r="I45">
        <v>92</v>
      </c>
      <c r="J45">
        <v>88</v>
      </c>
      <c r="K45">
        <v>64</v>
      </c>
      <c r="L45">
        <v>29</v>
      </c>
      <c r="M45">
        <f t="shared" si="0"/>
        <v>3080</v>
      </c>
    </row>
    <row r="46" spans="1:13" x14ac:dyDescent="0.3">
      <c r="A46" t="s">
        <v>83</v>
      </c>
      <c r="B46" s="1">
        <v>46078</v>
      </c>
      <c r="C46" t="s">
        <v>79</v>
      </c>
      <c r="D46" t="s">
        <v>80</v>
      </c>
      <c r="E46" t="s">
        <v>15</v>
      </c>
      <c r="F46" t="s">
        <v>25</v>
      </c>
      <c r="G46">
        <v>33</v>
      </c>
      <c r="H46">
        <v>45</v>
      </c>
      <c r="I46">
        <v>90</v>
      </c>
      <c r="J46">
        <v>85</v>
      </c>
      <c r="K46">
        <v>120</v>
      </c>
      <c r="L46">
        <v>87</v>
      </c>
      <c r="M46">
        <f t="shared" si="0"/>
        <v>2805</v>
      </c>
    </row>
    <row r="47" spans="1:13" x14ac:dyDescent="0.3">
      <c r="A47" t="s">
        <v>84</v>
      </c>
      <c r="B47" s="1">
        <v>46147</v>
      </c>
      <c r="C47" t="s">
        <v>22</v>
      </c>
      <c r="D47" t="s">
        <v>23</v>
      </c>
      <c r="E47" t="s">
        <v>15</v>
      </c>
      <c r="F47" t="s">
        <v>16</v>
      </c>
      <c r="G47">
        <v>36</v>
      </c>
      <c r="H47">
        <v>60</v>
      </c>
      <c r="I47">
        <v>120</v>
      </c>
      <c r="J47">
        <v>112</v>
      </c>
      <c r="K47">
        <v>130</v>
      </c>
      <c r="L47">
        <v>94</v>
      </c>
      <c r="M47">
        <f t="shared" si="0"/>
        <v>4032</v>
      </c>
    </row>
    <row r="48" spans="1:13" x14ac:dyDescent="0.3">
      <c r="A48" t="s">
        <v>85</v>
      </c>
      <c r="B48" s="1">
        <v>46196</v>
      </c>
      <c r="C48" t="s">
        <v>31</v>
      </c>
      <c r="D48" t="s">
        <v>32</v>
      </c>
      <c r="E48" t="s">
        <v>20</v>
      </c>
      <c r="F48" t="s">
        <v>16</v>
      </c>
      <c r="G48">
        <v>25</v>
      </c>
      <c r="H48">
        <v>52</v>
      </c>
      <c r="I48">
        <v>105</v>
      </c>
      <c r="J48">
        <v>98</v>
      </c>
      <c r="K48">
        <v>118</v>
      </c>
      <c r="L48">
        <v>93</v>
      </c>
      <c r="M48">
        <f t="shared" si="0"/>
        <v>2450</v>
      </c>
    </row>
    <row r="49" spans="1:13" x14ac:dyDescent="0.3">
      <c r="A49" t="s">
        <v>86</v>
      </c>
      <c r="B49" s="1">
        <v>46116</v>
      </c>
      <c r="C49" t="s">
        <v>18</v>
      </c>
      <c r="D49" t="s">
        <v>19</v>
      </c>
      <c r="E49" t="s">
        <v>15</v>
      </c>
      <c r="F49" t="s">
        <v>16</v>
      </c>
      <c r="G49">
        <v>4</v>
      </c>
      <c r="H49">
        <v>55</v>
      </c>
      <c r="I49">
        <v>110</v>
      </c>
      <c r="J49">
        <v>100</v>
      </c>
      <c r="K49">
        <v>171</v>
      </c>
      <c r="L49">
        <v>167</v>
      </c>
      <c r="M49">
        <f t="shared" si="0"/>
        <v>400</v>
      </c>
    </row>
    <row r="50" spans="1:13" x14ac:dyDescent="0.3">
      <c r="A50" t="s">
        <v>87</v>
      </c>
      <c r="B50" s="1">
        <v>46129</v>
      </c>
      <c r="C50" t="s">
        <v>22</v>
      </c>
      <c r="D50" t="s">
        <v>23</v>
      </c>
      <c r="E50" t="s">
        <v>20</v>
      </c>
      <c r="F50" t="s">
        <v>16</v>
      </c>
      <c r="G50">
        <v>22</v>
      </c>
      <c r="H50">
        <v>60</v>
      </c>
      <c r="I50">
        <v>120</v>
      </c>
      <c r="J50">
        <v>112</v>
      </c>
      <c r="K50">
        <v>121</v>
      </c>
      <c r="L50">
        <v>99</v>
      </c>
      <c r="M50">
        <f t="shared" si="0"/>
        <v>2464</v>
      </c>
    </row>
    <row r="51" spans="1:13" x14ac:dyDescent="0.3">
      <c r="A51" t="s">
        <v>88</v>
      </c>
      <c r="B51" s="1">
        <v>46174</v>
      </c>
      <c r="C51" t="s">
        <v>18</v>
      </c>
      <c r="D51" t="s">
        <v>19</v>
      </c>
      <c r="E51" t="s">
        <v>29</v>
      </c>
      <c r="F51" t="s">
        <v>25</v>
      </c>
      <c r="G51">
        <v>5</v>
      </c>
      <c r="H51">
        <v>55</v>
      </c>
      <c r="I51">
        <v>110</v>
      </c>
      <c r="J51">
        <v>100</v>
      </c>
      <c r="K51">
        <v>169</v>
      </c>
      <c r="L51">
        <v>164</v>
      </c>
      <c r="M51">
        <f t="shared" si="0"/>
        <v>500</v>
      </c>
    </row>
    <row r="52" spans="1:13" x14ac:dyDescent="0.3">
      <c r="A52" t="s">
        <v>89</v>
      </c>
      <c r="B52" s="1">
        <v>46069</v>
      </c>
      <c r="C52" t="s">
        <v>18</v>
      </c>
      <c r="D52" t="s">
        <v>19</v>
      </c>
      <c r="E52" t="s">
        <v>29</v>
      </c>
      <c r="F52" t="s">
        <v>25</v>
      </c>
      <c r="G52">
        <v>6</v>
      </c>
      <c r="H52">
        <v>55</v>
      </c>
      <c r="I52">
        <v>110</v>
      </c>
      <c r="J52">
        <v>100</v>
      </c>
      <c r="K52">
        <v>142</v>
      </c>
      <c r="L52">
        <v>136</v>
      </c>
      <c r="M52">
        <f t="shared" si="0"/>
        <v>600</v>
      </c>
    </row>
    <row r="53" spans="1:13" x14ac:dyDescent="0.3">
      <c r="A53" t="s">
        <v>90</v>
      </c>
      <c r="B53" s="1">
        <v>46032</v>
      </c>
      <c r="C53" t="s">
        <v>79</v>
      </c>
      <c r="D53" t="s">
        <v>80</v>
      </c>
      <c r="E53" t="s">
        <v>15</v>
      </c>
      <c r="F53" t="s">
        <v>16</v>
      </c>
      <c r="G53">
        <v>15</v>
      </c>
      <c r="H53">
        <v>45</v>
      </c>
      <c r="I53">
        <v>90</v>
      </c>
      <c r="J53">
        <v>85</v>
      </c>
      <c r="K53">
        <v>114</v>
      </c>
      <c r="L53">
        <v>99</v>
      </c>
      <c r="M53">
        <f t="shared" si="0"/>
        <v>1275</v>
      </c>
    </row>
    <row r="54" spans="1:13" x14ac:dyDescent="0.3">
      <c r="A54" t="s">
        <v>91</v>
      </c>
      <c r="B54" s="1">
        <v>46025</v>
      </c>
      <c r="C54" t="s">
        <v>27</v>
      </c>
      <c r="D54" t="s">
        <v>28</v>
      </c>
      <c r="E54" t="s">
        <v>65</v>
      </c>
      <c r="F54" t="s">
        <v>16</v>
      </c>
      <c r="G54">
        <v>51</v>
      </c>
      <c r="H54">
        <v>40</v>
      </c>
      <c r="I54">
        <v>80</v>
      </c>
      <c r="J54">
        <v>75</v>
      </c>
      <c r="K54">
        <v>80</v>
      </c>
      <c r="L54">
        <v>29</v>
      </c>
      <c r="M54">
        <f t="shared" si="0"/>
        <v>3825</v>
      </c>
    </row>
    <row r="55" spans="1:13" x14ac:dyDescent="0.3">
      <c r="A55" t="s">
        <v>92</v>
      </c>
      <c r="B55" s="1">
        <v>46059</v>
      </c>
      <c r="C55" t="s">
        <v>36</v>
      </c>
      <c r="D55" t="s">
        <v>37</v>
      </c>
      <c r="E55" t="s">
        <v>15</v>
      </c>
      <c r="F55" t="s">
        <v>25</v>
      </c>
      <c r="G55">
        <v>30</v>
      </c>
      <c r="H55">
        <v>50</v>
      </c>
      <c r="I55">
        <v>100</v>
      </c>
      <c r="J55">
        <v>94</v>
      </c>
      <c r="K55">
        <v>106</v>
      </c>
      <c r="L55">
        <v>76</v>
      </c>
      <c r="M55">
        <f t="shared" si="0"/>
        <v>2820</v>
      </c>
    </row>
    <row r="56" spans="1:13" x14ac:dyDescent="0.3">
      <c r="A56" t="s">
        <v>93</v>
      </c>
      <c r="B56" s="1">
        <v>46177</v>
      </c>
      <c r="C56" t="s">
        <v>39</v>
      </c>
      <c r="D56" t="s">
        <v>40</v>
      </c>
      <c r="E56" t="s">
        <v>15</v>
      </c>
      <c r="F56" t="s">
        <v>16</v>
      </c>
      <c r="G56">
        <v>11</v>
      </c>
      <c r="H56">
        <v>140</v>
      </c>
      <c r="I56">
        <v>260</v>
      </c>
      <c r="J56">
        <v>245</v>
      </c>
      <c r="K56">
        <v>53</v>
      </c>
      <c r="L56">
        <v>42</v>
      </c>
      <c r="M56">
        <f t="shared" si="0"/>
        <v>2695</v>
      </c>
    </row>
    <row r="57" spans="1:13" x14ac:dyDescent="0.3">
      <c r="A57" t="s">
        <v>94</v>
      </c>
      <c r="B57" s="1">
        <v>46077</v>
      </c>
      <c r="C57" t="s">
        <v>39</v>
      </c>
      <c r="D57" t="s">
        <v>40</v>
      </c>
      <c r="E57" t="s">
        <v>24</v>
      </c>
      <c r="F57" t="s">
        <v>16</v>
      </c>
      <c r="G57">
        <v>7</v>
      </c>
      <c r="H57">
        <v>140</v>
      </c>
      <c r="I57">
        <v>260</v>
      </c>
      <c r="J57">
        <v>245</v>
      </c>
      <c r="K57">
        <v>65</v>
      </c>
      <c r="L57">
        <v>58</v>
      </c>
      <c r="M57">
        <f t="shared" si="0"/>
        <v>1715</v>
      </c>
    </row>
    <row r="58" spans="1:13" x14ac:dyDescent="0.3">
      <c r="A58" t="s">
        <v>95</v>
      </c>
      <c r="B58" s="1">
        <v>46148</v>
      </c>
      <c r="C58" t="s">
        <v>27</v>
      </c>
      <c r="D58" t="s">
        <v>28</v>
      </c>
      <c r="E58" t="s">
        <v>29</v>
      </c>
      <c r="F58" t="s">
        <v>16</v>
      </c>
      <c r="G58">
        <v>49</v>
      </c>
      <c r="H58">
        <v>40</v>
      </c>
      <c r="I58">
        <v>80</v>
      </c>
      <c r="J58">
        <v>75</v>
      </c>
      <c r="K58">
        <v>66</v>
      </c>
      <c r="L58">
        <v>17</v>
      </c>
      <c r="M58">
        <f t="shared" si="0"/>
        <v>3675</v>
      </c>
    </row>
    <row r="59" spans="1:13" x14ac:dyDescent="0.3">
      <c r="A59" t="s">
        <v>96</v>
      </c>
      <c r="B59" s="1">
        <v>46030</v>
      </c>
      <c r="C59" t="s">
        <v>42</v>
      </c>
      <c r="D59" t="s">
        <v>43</v>
      </c>
      <c r="E59" t="s">
        <v>29</v>
      </c>
      <c r="F59" t="s">
        <v>16</v>
      </c>
      <c r="G59">
        <v>30</v>
      </c>
      <c r="H59">
        <v>58</v>
      </c>
      <c r="I59">
        <v>118</v>
      </c>
      <c r="J59">
        <v>110</v>
      </c>
      <c r="K59">
        <v>110</v>
      </c>
      <c r="L59">
        <v>80</v>
      </c>
      <c r="M59">
        <f t="shared" si="0"/>
        <v>3300</v>
      </c>
    </row>
    <row r="60" spans="1:13" x14ac:dyDescent="0.3">
      <c r="A60" t="s">
        <v>97</v>
      </c>
      <c r="B60" s="1">
        <v>46052</v>
      </c>
      <c r="C60" t="s">
        <v>55</v>
      </c>
      <c r="D60" t="s">
        <v>56</v>
      </c>
      <c r="E60" t="s">
        <v>20</v>
      </c>
      <c r="F60" t="s">
        <v>16</v>
      </c>
      <c r="G60">
        <v>15</v>
      </c>
      <c r="H60">
        <v>46</v>
      </c>
      <c r="I60">
        <v>92</v>
      </c>
      <c r="J60">
        <v>88</v>
      </c>
      <c r="K60">
        <v>85</v>
      </c>
      <c r="L60">
        <v>70</v>
      </c>
      <c r="M60">
        <f t="shared" si="0"/>
        <v>1320</v>
      </c>
    </row>
    <row r="61" spans="1:13" x14ac:dyDescent="0.3">
      <c r="A61" t="s">
        <v>98</v>
      </c>
      <c r="B61" s="1">
        <v>46176</v>
      </c>
      <c r="C61" t="s">
        <v>13</v>
      </c>
      <c r="D61" t="s">
        <v>14</v>
      </c>
      <c r="E61" t="s">
        <v>65</v>
      </c>
      <c r="F61" t="s">
        <v>16</v>
      </c>
      <c r="G61">
        <v>29</v>
      </c>
      <c r="H61">
        <v>48</v>
      </c>
      <c r="I61">
        <v>95</v>
      </c>
      <c r="J61">
        <v>90</v>
      </c>
      <c r="K61">
        <v>60</v>
      </c>
      <c r="L61">
        <v>31</v>
      </c>
      <c r="M61">
        <f t="shared" si="0"/>
        <v>2610</v>
      </c>
    </row>
    <row r="62" spans="1:13" x14ac:dyDescent="0.3">
      <c r="A62" t="s">
        <v>99</v>
      </c>
      <c r="B62" s="1">
        <v>46128</v>
      </c>
      <c r="C62" t="s">
        <v>31</v>
      </c>
      <c r="D62" t="s">
        <v>32</v>
      </c>
      <c r="E62" t="s">
        <v>29</v>
      </c>
      <c r="F62" t="s">
        <v>16</v>
      </c>
      <c r="G62">
        <v>23</v>
      </c>
      <c r="H62">
        <v>52</v>
      </c>
      <c r="I62">
        <v>105</v>
      </c>
      <c r="J62">
        <v>98</v>
      </c>
      <c r="K62">
        <v>103</v>
      </c>
      <c r="L62">
        <v>80</v>
      </c>
      <c r="M62">
        <f t="shared" si="0"/>
        <v>2254</v>
      </c>
    </row>
    <row r="63" spans="1:13" x14ac:dyDescent="0.3">
      <c r="A63" t="s">
        <v>100</v>
      </c>
      <c r="B63" s="1">
        <v>46042</v>
      </c>
      <c r="C63" t="s">
        <v>18</v>
      </c>
      <c r="D63" t="s">
        <v>19</v>
      </c>
      <c r="E63" t="s">
        <v>15</v>
      </c>
      <c r="F63" t="s">
        <v>25</v>
      </c>
      <c r="G63">
        <v>5</v>
      </c>
      <c r="H63">
        <v>55</v>
      </c>
      <c r="I63">
        <v>110</v>
      </c>
      <c r="J63">
        <v>100</v>
      </c>
      <c r="K63">
        <v>158</v>
      </c>
      <c r="L63">
        <v>153</v>
      </c>
      <c r="M63">
        <f t="shared" si="0"/>
        <v>500</v>
      </c>
    </row>
    <row r="64" spans="1:13" x14ac:dyDescent="0.3">
      <c r="A64" t="s">
        <v>101</v>
      </c>
      <c r="B64" s="1">
        <v>46148</v>
      </c>
      <c r="C64" t="s">
        <v>18</v>
      </c>
      <c r="D64" t="s">
        <v>19</v>
      </c>
      <c r="E64" t="s">
        <v>15</v>
      </c>
      <c r="F64" t="s">
        <v>16</v>
      </c>
      <c r="G64">
        <v>5</v>
      </c>
      <c r="H64">
        <v>55</v>
      </c>
      <c r="I64">
        <v>110</v>
      </c>
      <c r="J64">
        <v>100</v>
      </c>
      <c r="K64">
        <v>134</v>
      </c>
      <c r="L64">
        <v>129</v>
      </c>
      <c r="M64">
        <f t="shared" si="0"/>
        <v>500</v>
      </c>
    </row>
    <row r="65" spans="1:13" x14ac:dyDescent="0.3">
      <c r="A65" t="s">
        <v>102</v>
      </c>
      <c r="B65" s="1">
        <v>46031</v>
      </c>
      <c r="C65" t="s">
        <v>55</v>
      </c>
      <c r="D65" t="s">
        <v>56</v>
      </c>
      <c r="E65" t="s">
        <v>65</v>
      </c>
      <c r="F65" t="s">
        <v>16</v>
      </c>
      <c r="G65">
        <v>26</v>
      </c>
      <c r="H65">
        <v>46</v>
      </c>
      <c r="I65">
        <v>92</v>
      </c>
      <c r="J65">
        <v>88</v>
      </c>
      <c r="K65">
        <v>99</v>
      </c>
      <c r="L65">
        <v>73</v>
      </c>
      <c r="M65">
        <f t="shared" si="0"/>
        <v>2288</v>
      </c>
    </row>
    <row r="66" spans="1:13" x14ac:dyDescent="0.3">
      <c r="A66" t="s">
        <v>103</v>
      </c>
      <c r="B66" s="1">
        <v>46173</v>
      </c>
      <c r="C66" t="s">
        <v>39</v>
      </c>
      <c r="D66" t="s">
        <v>40</v>
      </c>
      <c r="E66" t="s">
        <v>15</v>
      </c>
      <c r="F66" t="s">
        <v>16</v>
      </c>
      <c r="G66">
        <v>10</v>
      </c>
      <c r="H66">
        <v>140</v>
      </c>
      <c r="I66">
        <v>260</v>
      </c>
      <c r="J66">
        <v>245</v>
      </c>
      <c r="K66">
        <v>86</v>
      </c>
      <c r="L66">
        <v>76</v>
      </c>
      <c r="M66">
        <f t="shared" si="0"/>
        <v>2450</v>
      </c>
    </row>
    <row r="67" spans="1:13" x14ac:dyDescent="0.3">
      <c r="A67" t="s">
        <v>104</v>
      </c>
      <c r="B67" s="1">
        <v>46082</v>
      </c>
      <c r="C67" t="s">
        <v>13</v>
      </c>
      <c r="D67" t="s">
        <v>14</v>
      </c>
      <c r="E67" t="s">
        <v>20</v>
      </c>
      <c r="F67" t="s">
        <v>25</v>
      </c>
      <c r="G67">
        <v>19</v>
      </c>
      <c r="H67">
        <v>48</v>
      </c>
      <c r="I67">
        <v>95</v>
      </c>
      <c r="J67">
        <v>90</v>
      </c>
      <c r="K67">
        <v>105</v>
      </c>
      <c r="L67">
        <v>86</v>
      </c>
      <c r="M67">
        <f t="shared" ref="M67:M130" si="1">G67*J67</f>
        <v>1710</v>
      </c>
    </row>
    <row r="68" spans="1:13" x14ac:dyDescent="0.3">
      <c r="A68" t="s">
        <v>105</v>
      </c>
      <c r="B68" s="1">
        <v>46178</v>
      </c>
      <c r="C68" t="s">
        <v>36</v>
      </c>
      <c r="D68" t="s">
        <v>37</v>
      </c>
      <c r="E68" t="s">
        <v>29</v>
      </c>
      <c r="F68" t="s">
        <v>16</v>
      </c>
      <c r="G68">
        <v>27</v>
      </c>
      <c r="H68">
        <v>50</v>
      </c>
      <c r="I68">
        <v>100</v>
      </c>
      <c r="J68">
        <v>94</v>
      </c>
      <c r="K68">
        <v>97</v>
      </c>
      <c r="L68">
        <v>70</v>
      </c>
      <c r="M68">
        <f t="shared" si="1"/>
        <v>2538</v>
      </c>
    </row>
    <row r="69" spans="1:13" x14ac:dyDescent="0.3">
      <c r="A69" t="s">
        <v>106</v>
      </c>
      <c r="B69" s="1">
        <v>46097</v>
      </c>
      <c r="C69" t="s">
        <v>79</v>
      </c>
      <c r="D69" t="s">
        <v>80</v>
      </c>
      <c r="E69" t="s">
        <v>29</v>
      </c>
      <c r="F69" t="s">
        <v>25</v>
      </c>
      <c r="G69">
        <v>5</v>
      </c>
      <c r="H69">
        <v>45</v>
      </c>
      <c r="I69">
        <v>90</v>
      </c>
      <c r="J69">
        <v>85</v>
      </c>
      <c r="K69">
        <v>97</v>
      </c>
      <c r="L69">
        <v>92</v>
      </c>
      <c r="M69">
        <f t="shared" si="1"/>
        <v>425</v>
      </c>
    </row>
    <row r="70" spans="1:13" x14ac:dyDescent="0.3">
      <c r="A70" t="s">
        <v>107</v>
      </c>
      <c r="B70" s="1">
        <v>46045</v>
      </c>
      <c r="C70" t="s">
        <v>55</v>
      </c>
      <c r="D70" t="s">
        <v>56</v>
      </c>
      <c r="E70" t="s">
        <v>20</v>
      </c>
      <c r="F70" t="s">
        <v>16</v>
      </c>
      <c r="G70">
        <v>20</v>
      </c>
      <c r="H70">
        <v>46</v>
      </c>
      <c r="I70">
        <v>92</v>
      </c>
      <c r="J70">
        <v>88</v>
      </c>
      <c r="K70">
        <v>87</v>
      </c>
      <c r="L70">
        <v>67</v>
      </c>
      <c r="M70">
        <f t="shared" si="1"/>
        <v>1760</v>
      </c>
    </row>
    <row r="71" spans="1:13" x14ac:dyDescent="0.3">
      <c r="A71" t="s">
        <v>108</v>
      </c>
      <c r="B71" s="1">
        <v>46168</v>
      </c>
      <c r="C71" t="s">
        <v>22</v>
      </c>
      <c r="D71" t="s">
        <v>23</v>
      </c>
      <c r="E71" t="s">
        <v>15</v>
      </c>
      <c r="F71" t="s">
        <v>16</v>
      </c>
      <c r="G71">
        <v>19</v>
      </c>
      <c r="H71">
        <v>60</v>
      </c>
      <c r="I71">
        <v>120</v>
      </c>
      <c r="J71">
        <v>112</v>
      </c>
      <c r="K71">
        <v>68</v>
      </c>
      <c r="L71">
        <v>49</v>
      </c>
      <c r="M71">
        <f t="shared" si="1"/>
        <v>2128</v>
      </c>
    </row>
    <row r="72" spans="1:13" x14ac:dyDescent="0.3">
      <c r="A72" t="s">
        <v>109</v>
      </c>
      <c r="B72" s="1">
        <v>46168</v>
      </c>
      <c r="C72" t="s">
        <v>18</v>
      </c>
      <c r="D72" t="s">
        <v>19</v>
      </c>
      <c r="E72" t="s">
        <v>29</v>
      </c>
      <c r="F72" t="s">
        <v>16</v>
      </c>
      <c r="G72">
        <v>3</v>
      </c>
      <c r="H72">
        <v>55</v>
      </c>
      <c r="I72">
        <v>110</v>
      </c>
      <c r="J72">
        <v>100</v>
      </c>
      <c r="K72">
        <v>128</v>
      </c>
      <c r="L72">
        <v>125</v>
      </c>
      <c r="M72">
        <f t="shared" si="1"/>
        <v>300</v>
      </c>
    </row>
    <row r="73" spans="1:13" x14ac:dyDescent="0.3">
      <c r="A73" t="s">
        <v>110</v>
      </c>
      <c r="B73" s="1">
        <v>46154</v>
      </c>
      <c r="C73" t="s">
        <v>36</v>
      </c>
      <c r="D73" t="s">
        <v>37</v>
      </c>
      <c r="E73" t="s">
        <v>65</v>
      </c>
      <c r="F73" t="s">
        <v>16</v>
      </c>
      <c r="G73">
        <v>26</v>
      </c>
      <c r="H73">
        <v>50</v>
      </c>
      <c r="I73">
        <v>100</v>
      </c>
      <c r="J73">
        <v>94</v>
      </c>
      <c r="K73">
        <v>70</v>
      </c>
      <c r="L73">
        <v>44</v>
      </c>
      <c r="M73">
        <f t="shared" si="1"/>
        <v>2444</v>
      </c>
    </row>
    <row r="74" spans="1:13" x14ac:dyDescent="0.3">
      <c r="A74" t="s">
        <v>111</v>
      </c>
      <c r="B74" s="1">
        <v>46121</v>
      </c>
      <c r="C74" t="s">
        <v>27</v>
      </c>
      <c r="D74" t="s">
        <v>28</v>
      </c>
      <c r="E74" t="s">
        <v>29</v>
      </c>
      <c r="F74" t="s">
        <v>25</v>
      </c>
      <c r="G74">
        <v>60</v>
      </c>
      <c r="H74">
        <v>40</v>
      </c>
      <c r="I74">
        <v>80</v>
      </c>
      <c r="J74">
        <v>75</v>
      </c>
      <c r="K74">
        <v>54</v>
      </c>
      <c r="L74">
        <v>0</v>
      </c>
      <c r="M74">
        <f t="shared" si="1"/>
        <v>4500</v>
      </c>
    </row>
    <row r="75" spans="1:13" x14ac:dyDescent="0.3">
      <c r="A75" t="s">
        <v>112</v>
      </c>
      <c r="B75" s="1">
        <v>46053</v>
      </c>
      <c r="C75" t="s">
        <v>55</v>
      </c>
      <c r="D75" t="s">
        <v>56</v>
      </c>
      <c r="E75" t="s">
        <v>24</v>
      </c>
      <c r="F75" t="s">
        <v>16</v>
      </c>
      <c r="G75">
        <v>16</v>
      </c>
      <c r="H75">
        <v>46</v>
      </c>
      <c r="I75">
        <v>92</v>
      </c>
      <c r="J75">
        <v>88</v>
      </c>
      <c r="K75">
        <v>82</v>
      </c>
      <c r="L75">
        <v>66</v>
      </c>
      <c r="M75">
        <f t="shared" si="1"/>
        <v>1408</v>
      </c>
    </row>
    <row r="76" spans="1:13" x14ac:dyDescent="0.3">
      <c r="A76" t="s">
        <v>113</v>
      </c>
      <c r="B76" s="1">
        <v>46058</v>
      </c>
      <c r="C76" t="s">
        <v>39</v>
      </c>
      <c r="D76" t="s">
        <v>40</v>
      </c>
      <c r="E76" t="s">
        <v>29</v>
      </c>
      <c r="F76" t="s">
        <v>25</v>
      </c>
      <c r="G76">
        <v>7</v>
      </c>
      <c r="H76">
        <v>140</v>
      </c>
      <c r="I76">
        <v>260</v>
      </c>
      <c r="J76">
        <v>245</v>
      </c>
      <c r="K76">
        <v>59</v>
      </c>
      <c r="L76">
        <v>52</v>
      </c>
      <c r="M76">
        <f t="shared" si="1"/>
        <v>1715</v>
      </c>
    </row>
    <row r="77" spans="1:13" x14ac:dyDescent="0.3">
      <c r="A77" t="s">
        <v>114</v>
      </c>
      <c r="B77" s="1">
        <v>46062</v>
      </c>
      <c r="C77" t="s">
        <v>39</v>
      </c>
      <c r="D77" t="s">
        <v>40</v>
      </c>
      <c r="E77" t="s">
        <v>20</v>
      </c>
      <c r="F77" t="s">
        <v>25</v>
      </c>
      <c r="G77">
        <v>5</v>
      </c>
      <c r="H77">
        <v>140</v>
      </c>
      <c r="I77">
        <v>260</v>
      </c>
      <c r="J77">
        <v>245</v>
      </c>
      <c r="K77">
        <v>44</v>
      </c>
      <c r="L77">
        <v>39</v>
      </c>
      <c r="M77">
        <f t="shared" si="1"/>
        <v>1225</v>
      </c>
    </row>
    <row r="78" spans="1:13" x14ac:dyDescent="0.3">
      <c r="A78" t="s">
        <v>115</v>
      </c>
      <c r="B78" s="1">
        <v>46039</v>
      </c>
      <c r="C78" t="s">
        <v>39</v>
      </c>
      <c r="D78" t="s">
        <v>40</v>
      </c>
      <c r="E78" t="s">
        <v>15</v>
      </c>
      <c r="F78" t="s">
        <v>16</v>
      </c>
      <c r="G78">
        <v>14</v>
      </c>
      <c r="H78">
        <v>140</v>
      </c>
      <c r="I78">
        <v>260</v>
      </c>
      <c r="J78">
        <v>245</v>
      </c>
      <c r="K78">
        <v>42</v>
      </c>
      <c r="L78">
        <v>28</v>
      </c>
      <c r="M78">
        <f t="shared" si="1"/>
        <v>3430</v>
      </c>
    </row>
    <row r="79" spans="1:13" x14ac:dyDescent="0.3">
      <c r="A79" t="s">
        <v>116</v>
      </c>
      <c r="B79" s="1">
        <v>46069</v>
      </c>
      <c r="C79" t="s">
        <v>55</v>
      </c>
      <c r="D79" t="s">
        <v>56</v>
      </c>
      <c r="E79" t="s">
        <v>29</v>
      </c>
      <c r="F79" t="s">
        <v>16</v>
      </c>
      <c r="G79">
        <v>25</v>
      </c>
      <c r="H79">
        <v>46</v>
      </c>
      <c r="I79">
        <v>92</v>
      </c>
      <c r="J79">
        <v>88</v>
      </c>
      <c r="K79">
        <v>89</v>
      </c>
      <c r="L79">
        <v>64</v>
      </c>
      <c r="M79">
        <f t="shared" si="1"/>
        <v>2200</v>
      </c>
    </row>
    <row r="80" spans="1:13" x14ac:dyDescent="0.3">
      <c r="A80" t="s">
        <v>117</v>
      </c>
      <c r="B80" s="1">
        <v>46043</v>
      </c>
      <c r="C80" t="s">
        <v>22</v>
      </c>
      <c r="D80" t="s">
        <v>23</v>
      </c>
      <c r="E80" t="s">
        <v>29</v>
      </c>
      <c r="F80" t="s">
        <v>16</v>
      </c>
      <c r="G80">
        <v>12</v>
      </c>
      <c r="H80">
        <v>60</v>
      </c>
      <c r="I80">
        <v>120</v>
      </c>
      <c r="J80">
        <v>112</v>
      </c>
      <c r="K80">
        <v>76</v>
      </c>
      <c r="L80">
        <v>64</v>
      </c>
      <c r="M80">
        <f t="shared" si="1"/>
        <v>1344</v>
      </c>
    </row>
    <row r="81" spans="1:13" x14ac:dyDescent="0.3">
      <c r="A81" t="s">
        <v>118</v>
      </c>
      <c r="B81" s="1">
        <v>46088</v>
      </c>
      <c r="C81" t="s">
        <v>27</v>
      </c>
      <c r="D81" t="s">
        <v>28</v>
      </c>
      <c r="E81" t="s">
        <v>29</v>
      </c>
      <c r="F81" t="s">
        <v>16</v>
      </c>
      <c r="G81">
        <v>32</v>
      </c>
      <c r="H81">
        <v>40</v>
      </c>
      <c r="I81">
        <v>80</v>
      </c>
      <c r="J81">
        <v>75</v>
      </c>
      <c r="K81">
        <v>70</v>
      </c>
      <c r="L81">
        <v>38</v>
      </c>
      <c r="M81">
        <f t="shared" si="1"/>
        <v>2400</v>
      </c>
    </row>
    <row r="82" spans="1:13" x14ac:dyDescent="0.3">
      <c r="A82" t="s">
        <v>119</v>
      </c>
      <c r="B82" s="1">
        <v>46084</v>
      </c>
      <c r="C82" t="s">
        <v>39</v>
      </c>
      <c r="D82" t="s">
        <v>40</v>
      </c>
      <c r="E82" t="s">
        <v>29</v>
      </c>
      <c r="F82" t="s">
        <v>16</v>
      </c>
      <c r="G82">
        <v>8</v>
      </c>
      <c r="H82">
        <v>140</v>
      </c>
      <c r="I82">
        <v>260</v>
      </c>
      <c r="J82">
        <v>245</v>
      </c>
      <c r="K82">
        <v>68</v>
      </c>
      <c r="L82">
        <v>60</v>
      </c>
      <c r="M82">
        <f t="shared" si="1"/>
        <v>1960</v>
      </c>
    </row>
    <row r="83" spans="1:13" x14ac:dyDescent="0.3">
      <c r="A83" t="s">
        <v>120</v>
      </c>
      <c r="B83" s="1">
        <v>46119</v>
      </c>
      <c r="C83" t="s">
        <v>55</v>
      </c>
      <c r="D83" t="s">
        <v>56</v>
      </c>
      <c r="E83" t="s">
        <v>24</v>
      </c>
      <c r="F83" t="s">
        <v>25</v>
      </c>
      <c r="G83">
        <v>14</v>
      </c>
      <c r="H83">
        <v>46</v>
      </c>
      <c r="I83">
        <v>92</v>
      </c>
      <c r="J83">
        <v>88</v>
      </c>
      <c r="K83">
        <v>110</v>
      </c>
      <c r="L83">
        <v>96</v>
      </c>
      <c r="M83">
        <f t="shared" si="1"/>
        <v>1232</v>
      </c>
    </row>
    <row r="84" spans="1:13" x14ac:dyDescent="0.3">
      <c r="A84" t="s">
        <v>121</v>
      </c>
      <c r="B84" s="1">
        <v>46187</v>
      </c>
      <c r="C84" t="s">
        <v>22</v>
      </c>
      <c r="D84" t="s">
        <v>23</v>
      </c>
      <c r="E84" t="s">
        <v>29</v>
      </c>
      <c r="F84" t="s">
        <v>16</v>
      </c>
      <c r="G84">
        <v>20</v>
      </c>
      <c r="H84">
        <v>60</v>
      </c>
      <c r="I84">
        <v>120</v>
      </c>
      <c r="J84">
        <v>112</v>
      </c>
      <c r="K84">
        <v>126</v>
      </c>
      <c r="L84">
        <v>106</v>
      </c>
      <c r="M84">
        <f t="shared" si="1"/>
        <v>2240</v>
      </c>
    </row>
    <row r="85" spans="1:13" x14ac:dyDescent="0.3">
      <c r="A85" t="s">
        <v>122</v>
      </c>
      <c r="B85" s="1">
        <v>46156</v>
      </c>
      <c r="C85" t="s">
        <v>31</v>
      </c>
      <c r="D85" t="s">
        <v>32</v>
      </c>
      <c r="E85" t="s">
        <v>20</v>
      </c>
      <c r="F85" t="s">
        <v>16</v>
      </c>
      <c r="G85">
        <v>18</v>
      </c>
      <c r="H85">
        <v>52</v>
      </c>
      <c r="I85">
        <v>105</v>
      </c>
      <c r="J85">
        <v>98</v>
      </c>
      <c r="K85">
        <v>99</v>
      </c>
      <c r="L85">
        <v>81</v>
      </c>
      <c r="M85">
        <f t="shared" si="1"/>
        <v>1764</v>
      </c>
    </row>
    <row r="86" spans="1:13" x14ac:dyDescent="0.3">
      <c r="A86" t="s">
        <v>123</v>
      </c>
      <c r="B86" s="1">
        <v>46026</v>
      </c>
      <c r="C86" t="s">
        <v>79</v>
      </c>
      <c r="D86" t="s">
        <v>80</v>
      </c>
      <c r="E86" t="s">
        <v>29</v>
      </c>
      <c r="F86" t="s">
        <v>16</v>
      </c>
      <c r="G86">
        <v>7</v>
      </c>
      <c r="H86">
        <v>45</v>
      </c>
      <c r="I86">
        <v>90</v>
      </c>
      <c r="J86">
        <v>85</v>
      </c>
      <c r="K86">
        <v>137</v>
      </c>
      <c r="L86">
        <v>130</v>
      </c>
      <c r="M86">
        <f t="shared" si="1"/>
        <v>595</v>
      </c>
    </row>
    <row r="87" spans="1:13" x14ac:dyDescent="0.3">
      <c r="A87" t="s">
        <v>124</v>
      </c>
      <c r="B87" s="1">
        <v>46075</v>
      </c>
      <c r="C87" t="s">
        <v>36</v>
      </c>
      <c r="D87" t="s">
        <v>37</v>
      </c>
      <c r="E87" t="s">
        <v>24</v>
      </c>
      <c r="F87" t="s">
        <v>25</v>
      </c>
      <c r="G87">
        <v>12</v>
      </c>
      <c r="H87">
        <v>50</v>
      </c>
      <c r="I87">
        <v>100</v>
      </c>
      <c r="J87">
        <v>94</v>
      </c>
      <c r="K87">
        <v>99</v>
      </c>
      <c r="L87">
        <v>87</v>
      </c>
      <c r="M87">
        <f t="shared" si="1"/>
        <v>1128</v>
      </c>
    </row>
    <row r="88" spans="1:13" x14ac:dyDescent="0.3">
      <c r="A88" t="s">
        <v>125</v>
      </c>
      <c r="B88" s="1">
        <v>46023</v>
      </c>
      <c r="C88" t="s">
        <v>22</v>
      </c>
      <c r="D88" t="s">
        <v>23</v>
      </c>
      <c r="E88" t="s">
        <v>15</v>
      </c>
      <c r="F88" t="s">
        <v>16</v>
      </c>
      <c r="G88">
        <v>35</v>
      </c>
      <c r="H88">
        <v>60</v>
      </c>
      <c r="I88">
        <v>120</v>
      </c>
      <c r="J88">
        <v>112</v>
      </c>
      <c r="K88">
        <v>74</v>
      </c>
      <c r="L88">
        <v>39</v>
      </c>
      <c r="M88">
        <f t="shared" si="1"/>
        <v>3920</v>
      </c>
    </row>
    <row r="89" spans="1:13" x14ac:dyDescent="0.3">
      <c r="A89" t="s">
        <v>126</v>
      </c>
      <c r="B89" s="1">
        <v>46093</v>
      </c>
      <c r="C89" t="s">
        <v>79</v>
      </c>
      <c r="D89" t="s">
        <v>80</v>
      </c>
      <c r="E89" t="s">
        <v>20</v>
      </c>
      <c r="F89" t="s">
        <v>16</v>
      </c>
      <c r="G89">
        <v>33</v>
      </c>
      <c r="H89">
        <v>45</v>
      </c>
      <c r="I89">
        <v>90</v>
      </c>
      <c r="J89">
        <v>85</v>
      </c>
      <c r="K89">
        <v>121</v>
      </c>
      <c r="L89">
        <v>88</v>
      </c>
      <c r="M89">
        <f t="shared" si="1"/>
        <v>2805</v>
      </c>
    </row>
    <row r="90" spans="1:13" x14ac:dyDescent="0.3">
      <c r="A90" t="s">
        <v>127</v>
      </c>
      <c r="B90" s="1">
        <v>46147</v>
      </c>
      <c r="C90" t="s">
        <v>18</v>
      </c>
      <c r="D90" t="s">
        <v>19</v>
      </c>
      <c r="E90" t="s">
        <v>29</v>
      </c>
      <c r="F90" t="s">
        <v>25</v>
      </c>
      <c r="G90">
        <v>4</v>
      </c>
      <c r="H90">
        <v>55</v>
      </c>
      <c r="I90">
        <v>110</v>
      </c>
      <c r="J90">
        <v>100</v>
      </c>
      <c r="K90">
        <v>122</v>
      </c>
      <c r="L90">
        <v>118</v>
      </c>
      <c r="M90">
        <f t="shared" si="1"/>
        <v>400</v>
      </c>
    </row>
    <row r="91" spans="1:13" x14ac:dyDescent="0.3">
      <c r="A91" t="s">
        <v>128</v>
      </c>
      <c r="B91" s="1">
        <v>46055</v>
      </c>
      <c r="C91" t="s">
        <v>36</v>
      </c>
      <c r="D91" t="s">
        <v>37</v>
      </c>
      <c r="E91" t="s">
        <v>65</v>
      </c>
      <c r="F91" t="s">
        <v>25</v>
      </c>
      <c r="G91">
        <v>16</v>
      </c>
      <c r="H91">
        <v>50</v>
      </c>
      <c r="I91">
        <v>100</v>
      </c>
      <c r="J91">
        <v>94</v>
      </c>
      <c r="K91">
        <v>102</v>
      </c>
      <c r="L91">
        <v>86</v>
      </c>
      <c r="M91">
        <f t="shared" si="1"/>
        <v>1504</v>
      </c>
    </row>
    <row r="92" spans="1:13" x14ac:dyDescent="0.3">
      <c r="A92" t="s">
        <v>129</v>
      </c>
      <c r="B92" s="1">
        <v>46154</v>
      </c>
      <c r="C92" t="s">
        <v>79</v>
      </c>
      <c r="D92" t="s">
        <v>80</v>
      </c>
      <c r="E92" t="s">
        <v>24</v>
      </c>
      <c r="F92" t="s">
        <v>25</v>
      </c>
      <c r="G92">
        <v>12</v>
      </c>
      <c r="H92">
        <v>45</v>
      </c>
      <c r="I92">
        <v>90</v>
      </c>
      <c r="J92">
        <v>85</v>
      </c>
      <c r="K92">
        <v>95</v>
      </c>
      <c r="L92">
        <v>83</v>
      </c>
      <c r="M92">
        <f t="shared" si="1"/>
        <v>1020</v>
      </c>
    </row>
    <row r="93" spans="1:13" x14ac:dyDescent="0.3">
      <c r="A93" t="s">
        <v>130</v>
      </c>
      <c r="B93" s="1">
        <v>46037</v>
      </c>
      <c r="C93" t="s">
        <v>27</v>
      </c>
      <c r="D93" t="s">
        <v>28</v>
      </c>
      <c r="E93" t="s">
        <v>15</v>
      </c>
      <c r="F93" t="s">
        <v>25</v>
      </c>
      <c r="G93">
        <v>50</v>
      </c>
      <c r="H93">
        <v>40</v>
      </c>
      <c r="I93">
        <v>80</v>
      </c>
      <c r="J93">
        <v>75</v>
      </c>
      <c r="K93">
        <v>48</v>
      </c>
      <c r="L93">
        <v>0</v>
      </c>
      <c r="M93">
        <f t="shared" si="1"/>
        <v>3750</v>
      </c>
    </row>
    <row r="94" spans="1:13" x14ac:dyDescent="0.3">
      <c r="A94" t="s">
        <v>131</v>
      </c>
      <c r="B94" s="1">
        <v>46080</v>
      </c>
      <c r="C94" t="s">
        <v>18</v>
      </c>
      <c r="D94" t="s">
        <v>19</v>
      </c>
      <c r="E94" t="s">
        <v>29</v>
      </c>
      <c r="F94" t="s">
        <v>16</v>
      </c>
      <c r="G94">
        <v>6</v>
      </c>
      <c r="H94">
        <v>55</v>
      </c>
      <c r="I94">
        <v>110</v>
      </c>
      <c r="J94">
        <v>100</v>
      </c>
      <c r="K94">
        <v>178</v>
      </c>
      <c r="L94">
        <v>172</v>
      </c>
      <c r="M94">
        <f t="shared" si="1"/>
        <v>600</v>
      </c>
    </row>
    <row r="95" spans="1:13" x14ac:dyDescent="0.3">
      <c r="A95" t="s">
        <v>132</v>
      </c>
      <c r="B95" s="1">
        <v>46094</v>
      </c>
      <c r="C95" t="s">
        <v>27</v>
      </c>
      <c r="D95" t="s">
        <v>28</v>
      </c>
      <c r="E95" t="s">
        <v>20</v>
      </c>
      <c r="F95" t="s">
        <v>16</v>
      </c>
      <c r="G95">
        <v>53</v>
      </c>
      <c r="H95">
        <v>40</v>
      </c>
      <c r="I95">
        <v>80</v>
      </c>
      <c r="J95">
        <v>75</v>
      </c>
      <c r="K95">
        <v>41</v>
      </c>
      <c r="L95">
        <v>0</v>
      </c>
      <c r="M95">
        <f t="shared" si="1"/>
        <v>3975</v>
      </c>
    </row>
    <row r="96" spans="1:13" x14ac:dyDescent="0.3">
      <c r="A96" t="s">
        <v>133</v>
      </c>
      <c r="B96" s="1">
        <v>46198</v>
      </c>
      <c r="C96" t="s">
        <v>42</v>
      </c>
      <c r="D96" t="s">
        <v>43</v>
      </c>
      <c r="E96" t="s">
        <v>29</v>
      </c>
      <c r="F96" t="s">
        <v>25</v>
      </c>
      <c r="G96">
        <v>34</v>
      </c>
      <c r="H96">
        <v>58</v>
      </c>
      <c r="I96">
        <v>118</v>
      </c>
      <c r="J96">
        <v>110</v>
      </c>
      <c r="K96">
        <v>70</v>
      </c>
      <c r="L96">
        <v>36</v>
      </c>
      <c r="M96">
        <f t="shared" si="1"/>
        <v>3740</v>
      </c>
    </row>
    <row r="97" spans="1:13" x14ac:dyDescent="0.3">
      <c r="A97" t="s">
        <v>134</v>
      </c>
      <c r="B97" s="1">
        <v>46093</v>
      </c>
      <c r="C97" t="s">
        <v>31</v>
      </c>
      <c r="D97" t="s">
        <v>32</v>
      </c>
      <c r="E97" t="s">
        <v>15</v>
      </c>
      <c r="F97" t="s">
        <v>16</v>
      </c>
      <c r="G97">
        <v>38</v>
      </c>
      <c r="H97">
        <v>52</v>
      </c>
      <c r="I97">
        <v>105</v>
      </c>
      <c r="J97">
        <v>98</v>
      </c>
      <c r="K97">
        <v>103</v>
      </c>
      <c r="L97">
        <v>65</v>
      </c>
      <c r="M97">
        <f t="shared" si="1"/>
        <v>3724</v>
      </c>
    </row>
    <row r="98" spans="1:13" x14ac:dyDescent="0.3">
      <c r="A98" t="s">
        <v>135</v>
      </c>
      <c r="B98" s="1">
        <v>46044</v>
      </c>
      <c r="C98" t="s">
        <v>22</v>
      </c>
      <c r="D98" t="s">
        <v>23</v>
      </c>
      <c r="E98" t="s">
        <v>29</v>
      </c>
      <c r="F98" t="s">
        <v>16</v>
      </c>
      <c r="G98">
        <v>33</v>
      </c>
      <c r="H98">
        <v>60</v>
      </c>
      <c r="I98">
        <v>120</v>
      </c>
      <c r="J98">
        <v>112</v>
      </c>
      <c r="K98">
        <v>68</v>
      </c>
      <c r="L98">
        <v>35</v>
      </c>
      <c r="M98">
        <f t="shared" si="1"/>
        <v>3696</v>
      </c>
    </row>
    <row r="99" spans="1:13" x14ac:dyDescent="0.3">
      <c r="A99" t="s">
        <v>136</v>
      </c>
      <c r="B99" s="1">
        <v>46203</v>
      </c>
      <c r="C99" t="s">
        <v>22</v>
      </c>
      <c r="D99" t="s">
        <v>23</v>
      </c>
      <c r="E99" t="s">
        <v>24</v>
      </c>
      <c r="F99" t="s">
        <v>16</v>
      </c>
      <c r="G99">
        <v>39</v>
      </c>
      <c r="H99">
        <v>60</v>
      </c>
      <c r="I99">
        <v>120</v>
      </c>
      <c r="J99">
        <v>112</v>
      </c>
      <c r="K99">
        <v>67</v>
      </c>
      <c r="L99">
        <v>28</v>
      </c>
      <c r="M99">
        <f t="shared" si="1"/>
        <v>4368</v>
      </c>
    </row>
    <row r="100" spans="1:13" x14ac:dyDescent="0.3">
      <c r="A100" t="s">
        <v>137</v>
      </c>
      <c r="B100" s="1">
        <v>46058</v>
      </c>
      <c r="C100" t="s">
        <v>31</v>
      </c>
      <c r="D100" t="s">
        <v>32</v>
      </c>
      <c r="E100" t="s">
        <v>15</v>
      </c>
      <c r="F100" t="s">
        <v>25</v>
      </c>
      <c r="G100">
        <v>14</v>
      </c>
      <c r="H100">
        <v>52</v>
      </c>
      <c r="I100">
        <v>105</v>
      </c>
      <c r="J100">
        <v>98</v>
      </c>
      <c r="K100">
        <v>122</v>
      </c>
      <c r="L100">
        <v>108</v>
      </c>
      <c r="M100">
        <f t="shared" si="1"/>
        <v>1372</v>
      </c>
    </row>
    <row r="101" spans="1:13" x14ac:dyDescent="0.3">
      <c r="A101" t="s">
        <v>138</v>
      </c>
      <c r="B101" s="1">
        <v>46113</v>
      </c>
      <c r="C101" t="s">
        <v>13</v>
      </c>
      <c r="D101" t="s">
        <v>14</v>
      </c>
      <c r="E101" t="s">
        <v>15</v>
      </c>
      <c r="F101" t="s">
        <v>25</v>
      </c>
      <c r="G101">
        <v>16</v>
      </c>
      <c r="H101">
        <v>48</v>
      </c>
      <c r="I101">
        <v>95</v>
      </c>
      <c r="J101">
        <v>90</v>
      </c>
      <c r="K101">
        <v>137</v>
      </c>
      <c r="L101">
        <v>121</v>
      </c>
      <c r="M101">
        <f t="shared" si="1"/>
        <v>1440</v>
      </c>
    </row>
    <row r="102" spans="1:13" x14ac:dyDescent="0.3">
      <c r="A102" t="s">
        <v>139</v>
      </c>
      <c r="B102" s="1">
        <v>46201</v>
      </c>
      <c r="C102" t="s">
        <v>36</v>
      </c>
      <c r="D102" t="s">
        <v>37</v>
      </c>
      <c r="E102" t="s">
        <v>29</v>
      </c>
      <c r="F102" t="s">
        <v>25</v>
      </c>
      <c r="G102">
        <v>14</v>
      </c>
      <c r="H102">
        <v>50</v>
      </c>
      <c r="I102">
        <v>100</v>
      </c>
      <c r="J102">
        <v>94</v>
      </c>
      <c r="K102">
        <v>72</v>
      </c>
      <c r="L102">
        <v>58</v>
      </c>
      <c r="M102">
        <f t="shared" si="1"/>
        <v>1316</v>
      </c>
    </row>
    <row r="103" spans="1:13" x14ac:dyDescent="0.3">
      <c r="A103" t="s">
        <v>140</v>
      </c>
      <c r="B103" s="1">
        <v>46137</v>
      </c>
      <c r="C103" t="s">
        <v>79</v>
      </c>
      <c r="D103" t="s">
        <v>80</v>
      </c>
      <c r="E103" t="s">
        <v>29</v>
      </c>
      <c r="F103" t="s">
        <v>16</v>
      </c>
      <c r="G103">
        <v>20</v>
      </c>
      <c r="H103">
        <v>45</v>
      </c>
      <c r="I103">
        <v>90</v>
      </c>
      <c r="J103">
        <v>85</v>
      </c>
      <c r="K103">
        <v>116</v>
      </c>
      <c r="L103">
        <v>96</v>
      </c>
      <c r="M103">
        <f t="shared" si="1"/>
        <v>1700</v>
      </c>
    </row>
    <row r="104" spans="1:13" x14ac:dyDescent="0.3">
      <c r="A104" t="s">
        <v>141</v>
      </c>
      <c r="B104" s="1">
        <v>46062</v>
      </c>
      <c r="C104" t="s">
        <v>55</v>
      </c>
      <c r="D104" t="s">
        <v>56</v>
      </c>
      <c r="E104" t="s">
        <v>29</v>
      </c>
      <c r="F104" t="s">
        <v>25</v>
      </c>
      <c r="G104">
        <v>36</v>
      </c>
      <c r="H104">
        <v>46</v>
      </c>
      <c r="I104">
        <v>92</v>
      </c>
      <c r="J104">
        <v>88</v>
      </c>
      <c r="K104">
        <v>133</v>
      </c>
      <c r="L104">
        <v>97</v>
      </c>
      <c r="M104">
        <f t="shared" si="1"/>
        <v>3168</v>
      </c>
    </row>
    <row r="105" spans="1:13" x14ac:dyDescent="0.3">
      <c r="A105" t="s">
        <v>142</v>
      </c>
      <c r="B105" s="1">
        <v>46039</v>
      </c>
      <c r="C105" t="s">
        <v>27</v>
      </c>
      <c r="D105" t="s">
        <v>28</v>
      </c>
      <c r="E105" t="s">
        <v>15</v>
      </c>
      <c r="F105" t="s">
        <v>25</v>
      </c>
      <c r="G105">
        <v>50</v>
      </c>
      <c r="H105">
        <v>40</v>
      </c>
      <c r="I105">
        <v>80</v>
      </c>
      <c r="J105">
        <v>75</v>
      </c>
      <c r="K105">
        <v>68</v>
      </c>
      <c r="L105">
        <v>18</v>
      </c>
      <c r="M105">
        <f t="shared" si="1"/>
        <v>3750</v>
      </c>
    </row>
    <row r="106" spans="1:13" x14ac:dyDescent="0.3">
      <c r="A106" t="s">
        <v>143</v>
      </c>
      <c r="B106" s="1">
        <v>46089</v>
      </c>
      <c r="C106" t="s">
        <v>55</v>
      </c>
      <c r="D106" t="s">
        <v>56</v>
      </c>
      <c r="E106" t="s">
        <v>29</v>
      </c>
      <c r="F106" t="s">
        <v>25</v>
      </c>
      <c r="G106">
        <v>25</v>
      </c>
      <c r="H106">
        <v>46</v>
      </c>
      <c r="I106">
        <v>92</v>
      </c>
      <c r="J106">
        <v>88</v>
      </c>
      <c r="K106">
        <v>84</v>
      </c>
      <c r="L106">
        <v>59</v>
      </c>
      <c r="M106">
        <f t="shared" si="1"/>
        <v>2200</v>
      </c>
    </row>
    <row r="107" spans="1:13" x14ac:dyDescent="0.3">
      <c r="A107" t="s">
        <v>144</v>
      </c>
      <c r="B107" s="1">
        <v>46104</v>
      </c>
      <c r="C107" t="s">
        <v>55</v>
      </c>
      <c r="D107" t="s">
        <v>56</v>
      </c>
      <c r="E107" t="s">
        <v>15</v>
      </c>
      <c r="F107" t="s">
        <v>25</v>
      </c>
      <c r="G107">
        <v>38</v>
      </c>
      <c r="H107">
        <v>46</v>
      </c>
      <c r="I107">
        <v>92</v>
      </c>
      <c r="J107">
        <v>88</v>
      </c>
      <c r="K107">
        <v>106</v>
      </c>
      <c r="L107">
        <v>68</v>
      </c>
      <c r="M107">
        <f t="shared" si="1"/>
        <v>3344</v>
      </c>
    </row>
    <row r="108" spans="1:13" x14ac:dyDescent="0.3">
      <c r="A108" t="s">
        <v>145</v>
      </c>
      <c r="B108" s="1">
        <v>46060</v>
      </c>
      <c r="C108" t="s">
        <v>55</v>
      </c>
      <c r="D108" t="s">
        <v>56</v>
      </c>
      <c r="E108" t="s">
        <v>15</v>
      </c>
      <c r="F108" t="s">
        <v>25</v>
      </c>
      <c r="G108">
        <v>26</v>
      </c>
      <c r="H108">
        <v>46</v>
      </c>
      <c r="I108">
        <v>92</v>
      </c>
      <c r="J108">
        <v>88</v>
      </c>
      <c r="K108">
        <v>76</v>
      </c>
      <c r="L108">
        <v>50</v>
      </c>
      <c r="M108">
        <f t="shared" si="1"/>
        <v>2288</v>
      </c>
    </row>
    <row r="109" spans="1:13" x14ac:dyDescent="0.3">
      <c r="A109" t="s">
        <v>146</v>
      </c>
      <c r="B109" s="1">
        <v>46172</v>
      </c>
      <c r="C109" t="s">
        <v>31</v>
      </c>
      <c r="D109" t="s">
        <v>32</v>
      </c>
      <c r="E109" t="s">
        <v>24</v>
      </c>
      <c r="F109" t="s">
        <v>25</v>
      </c>
      <c r="G109">
        <v>10</v>
      </c>
      <c r="H109">
        <v>52</v>
      </c>
      <c r="I109">
        <v>105</v>
      </c>
      <c r="J109">
        <v>98</v>
      </c>
      <c r="K109">
        <v>107</v>
      </c>
      <c r="L109">
        <v>97</v>
      </c>
      <c r="M109">
        <f t="shared" si="1"/>
        <v>980</v>
      </c>
    </row>
    <row r="110" spans="1:13" x14ac:dyDescent="0.3">
      <c r="A110" t="s">
        <v>147</v>
      </c>
      <c r="B110" s="1">
        <v>46165</v>
      </c>
      <c r="C110" t="s">
        <v>18</v>
      </c>
      <c r="D110" t="s">
        <v>19</v>
      </c>
      <c r="E110" t="s">
        <v>24</v>
      </c>
      <c r="F110" t="s">
        <v>25</v>
      </c>
      <c r="G110">
        <v>7</v>
      </c>
      <c r="H110">
        <v>55</v>
      </c>
      <c r="I110">
        <v>110</v>
      </c>
      <c r="J110">
        <v>100</v>
      </c>
      <c r="K110">
        <v>121</v>
      </c>
      <c r="L110">
        <v>114</v>
      </c>
      <c r="M110">
        <f t="shared" si="1"/>
        <v>700</v>
      </c>
    </row>
    <row r="111" spans="1:13" x14ac:dyDescent="0.3">
      <c r="A111" t="s">
        <v>148</v>
      </c>
      <c r="B111" s="1">
        <v>46142</v>
      </c>
      <c r="C111" t="s">
        <v>18</v>
      </c>
      <c r="D111" t="s">
        <v>19</v>
      </c>
      <c r="E111" t="s">
        <v>15</v>
      </c>
      <c r="F111" t="s">
        <v>25</v>
      </c>
      <c r="G111">
        <v>3</v>
      </c>
      <c r="H111">
        <v>55</v>
      </c>
      <c r="I111">
        <v>110</v>
      </c>
      <c r="J111">
        <v>100</v>
      </c>
      <c r="K111">
        <v>155</v>
      </c>
      <c r="L111">
        <v>152</v>
      </c>
      <c r="M111">
        <f t="shared" si="1"/>
        <v>300</v>
      </c>
    </row>
    <row r="112" spans="1:13" x14ac:dyDescent="0.3">
      <c r="A112" t="s">
        <v>149</v>
      </c>
      <c r="B112" s="1">
        <v>46121</v>
      </c>
      <c r="C112" t="s">
        <v>42</v>
      </c>
      <c r="D112" t="s">
        <v>43</v>
      </c>
      <c r="E112" t="s">
        <v>24</v>
      </c>
      <c r="F112" t="s">
        <v>25</v>
      </c>
      <c r="G112">
        <v>26</v>
      </c>
      <c r="H112">
        <v>58</v>
      </c>
      <c r="I112">
        <v>118</v>
      </c>
      <c r="J112">
        <v>110</v>
      </c>
      <c r="K112">
        <v>129</v>
      </c>
      <c r="L112">
        <v>103</v>
      </c>
      <c r="M112">
        <f t="shared" si="1"/>
        <v>2860</v>
      </c>
    </row>
    <row r="113" spans="1:13" x14ac:dyDescent="0.3">
      <c r="A113" t="s">
        <v>150</v>
      </c>
      <c r="B113" s="1">
        <v>46083</v>
      </c>
      <c r="C113" t="s">
        <v>36</v>
      </c>
      <c r="D113" t="s">
        <v>37</v>
      </c>
      <c r="E113" t="s">
        <v>20</v>
      </c>
      <c r="F113" t="s">
        <v>25</v>
      </c>
      <c r="G113">
        <v>37</v>
      </c>
      <c r="H113">
        <v>50</v>
      </c>
      <c r="I113">
        <v>100</v>
      </c>
      <c r="J113">
        <v>94</v>
      </c>
      <c r="K113">
        <v>83</v>
      </c>
      <c r="L113">
        <v>46</v>
      </c>
      <c r="M113">
        <f t="shared" si="1"/>
        <v>3478</v>
      </c>
    </row>
    <row r="114" spans="1:13" x14ac:dyDescent="0.3">
      <c r="A114" t="s">
        <v>151</v>
      </c>
      <c r="B114" s="1">
        <v>46084</v>
      </c>
      <c r="C114" t="s">
        <v>79</v>
      </c>
      <c r="D114" t="s">
        <v>80</v>
      </c>
      <c r="E114" t="s">
        <v>15</v>
      </c>
      <c r="F114" t="s">
        <v>16</v>
      </c>
      <c r="G114">
        <v>14</v>
      </c>
      <c r="H114">
        <v>45</v>
      </c>
      <c r="I114">
        <v>90</v>
      </c>
      <c r="J114">
        <v>85</v>
      </c>
      <c r="K114">
        <v>74</v>
      </c>
      <c r="L114">
        <v>60</v>
      </c>
      <c r="M114">
        <f t="shared" si="1"/>
        <v>1190</v>
      </c>
    </row>
    <row r="115" spans="1:13" x14ac:dyDescent="0.3">
      <c r="A115" t="s">
        <v>152</v>
      </c>
      <c r="B115" s="1">
        <v>46194</v>
      </c>
      <c r="C115" t="s">
        <v>13</v>
      </c>
      <c r="D115" t="s">
        <v>14</v>
      </c>
      <c r="E115" t="s">
        <v>24</v>
      </c>
      <c r="F115" t="s">
        <v>25</v>
      </c>
      <c r="G115">
        <v>25</v>
      </c>
      <c r="H115">
        <v>48</v>
      </c>
      <c r="I115">
        <v>95</v>
      </c>
      <c r="J115">
        <v>90</v>
      </c>
      <c r="K115">
        <v>95</v>
      </c>
      <c r="L115">
        <v>70</v>
      </c>
      <c r="M115">
        <f t="shared" si="1"/>
        <v>2250</v>
      </c>
    </row>
    <row r="116" spans="1:13" x14ac:dyDescent="0.3">
      <c r="A116" t="s">
        <v>153</v>
      </c>
      <c r="B116" s="1">
        <v>46127</v>
      </c>
      <c r="C116" t="s">
        <v>31</v>
      </c>
      <c r="D116" t="s">
        <v>32</v>
      </c>
      <c r="E116" t="s">
        <v>24</v>
      </c>
      <c r="F116" t="s">
        <v>25</v>
      </c>
      <c r="G116">
        <v>26</v>
      </c>
      <c r="H116">
        <v>52</v>
      </c>
      <c r="I116">
        <v>105</v>
      </c>
      <c r="J116">
        <v>98</v>
      </c>
      <c r="K116">
        <v>112</v>
      </c>
      <c r="L116">
        <v>86</v>
      </c>
      <c r="M116">
        <f t="shared" si="1"/>
        <v>2548</v>
      </c>
    </row>
    <row r="117" spans="1:13" x14ac:dyDescent="0.3">
      <c r="A117" t="s">
        <v>154</v>
      </c>
      <c r="B117" s="1">
        <v>46202</v>
      </c>
      <c r="C117" t="s">
        <v>42</v>
      </c>
      <c r="D117" t="s">
        <v>43</v>
      </c>
      <c r="E117" t="s">
        <v>24</v>
      </c>
      <c r="F117" t="s">
        <v>25</v>
      </c>
      <c r="G117">
        <v>16</v>
      </c>
      <c r="H117">
        <v>58</v>
      </c>
      <c r="I117">
        <v>118</v>
      </c>
      <c r="J117">
        <v>110</v>
      </c>
      <c r="K117">
        <v>136</v>
      </c>
      <c r="L117">
        <v>120</v>
      </c>
      <c r="M117">
        <f t="shared" si="1"/>
        <v>1760</v>
      </c>
    </row>
    <row r="118" spans="1:13" x14ac:dyDescent="0.3">
      <c r="A118" t="s">
        <v>155</v>
      </c>
      <c r="B118" s="1">
        <v>46160</v>
      </c>
      <c r="C118" t="s">
        <v>79</v>
      </c>
      <c r="D118" t="s">
        <v>80</v>
      </c>
      <c r="E118" t="s">
        <v>29</v>
      </c>
      <c r="F118" t="s">
        <v>25</v>
      </c>
      <c r="G118">
        <v>24</v>
      </c>
      <c r="H118">
        <v>45</v>
      </c>
      <c r="I118">
        <v>90</v>
      </c>
      <c r="J118">
        <v>85</v>
      </c>
      <c r="K118">
        <v>118</v>
      </c>
      <c r="L118">
        <v>94</v>
      </c>
      <c r="M118">
        <f t="shared" si="1"/>
        <v>2040</v>
      </c>
    </row>
    <row r="119" spans="1:13" x14ac:dyDescent="0.3">
      <c r="A119" t="s">
        <v>156</v>
      </c>
      <c r="B119" s="1">
        <v>46189</v>
      </c>
      <c r="C119" t="s">
        <v>18</v>
      </c>
      <c r="D119" t="s">
        <v>19</v>
      </c>
      <c r="E119" t="s">
        <v>24</v>
      </c>
      <c r="F119" t="s">
        <v>16</v>
      </c>
      <c r="G119">
        <v>9</v>
      </c>
      <c r="H119">
        <v>55</v>
      </c>
      <c r="I119">
        <v>110</v>
      </c>
      <c r="J119">
        <v>100</v>
      </c>
      <c r="K119">
        <v>121</v>
      </c>
      <c r="L119">
        <v>112</v>
      </c>
      <c r="M119">
        <f t="shared" si="1"/>
        <v>900</v>
      </c>
    </row>
    <row r="120" spans="1:13" x14ac:dyDescent="0.3">
      <c r="A120" t="s">
        <v>157</v>
      </c>
      <c r="B120" s="1">
        <v>46048</v>
      </c>
      <c r="C120" t="s">
        <v>22</v>
      </c>
      <c r="D120" t="s">
        <v>23</v>
      </c>
      <c r="E120" t="s">
        <v>15</v>
      </c>
      <c r="F120" t="s">
        <v>25</v>
      </c>
      <c r="G120">
        <v>19</v>
      </c>
      <c r="H120">
        <v>60</v>
      </c>
      <c r="I120">
        <v>120</v>
      </c>
      <c r="J120">
        <v>112</v>
      </c>
      <c r="K120">
        <v>73</v>
      </c>
      <c r="L120">
        <v>54</v>
      </c>
      <c r="M120">
        <f t="shared" si="1"/>
        <v>2128</v>
      </c>
    </row>
    <row r="121" spans="1:13" x14ac:dyDescent="0.3">
      <c r="A121" t="s">
        <v>158</v>
      </c>
      <c r="B121" s="1">
        <v>46114</v>
      </c>
      <c r="C121" t="s">
        <v>42</v>
      </c>
      <c r="D121" t="s">
        <v>43</v>
      </c>
      <c r="E121" t="s">
        <v>24</v>
      </c>
      <c r="F121" t="s">
        <v>16</v>
      </c>
      <c r="G121">
        <v>28</v>
      </c>
      <c r="H121">
        <v>58</v>
      </c>
      <c r="I121">
        <v>118</v>
      </c>
      <c r="J121">
        <v>110</v>
      </c>
      <c r="K121">
        <v>66</v>
      </c>
      <c r="L121">
        <v>38</v>
      </c>
      <c r="M121">
        <f t="shared" si="1"/>
        <v>3080</v>
      </c>
    </row>
    <row r="122" spans="1:13" x14ac:dyDescent="0.3">
      <c r="A122" t="s">
        <v>159</v>
      </c>
      <c r="B122" s="1">
        <v>46180</v>
      </c>
      <c r="C122" t="s">
        <v>36</v>
      </c>
      <c r="D122" t="s">
        <v>37</v>
      </c>
      <c r="E122" t="s">
        <v>24</v>
      </c>
      <c r="F122" t="s">
        <v>16</v>
      </c>
      <c r="G122">
        <v>38</v>
      </c>
      <c r="H122">
        <v>50</v>
      </c>
      <c r="I122">
        <v>100</v>
      </c>
      <c r="J122">
        <v>94</v>
      </c>
      <c r="K122">
        <v>63</v>
      </c>
      <c r="L122">
        <v>25</v>
      </c>
      <c r="M122">
        <f t="shared" si="1"/>
        <v>3572</v>
      </c>
    </row>
    <row r="123" spans="1:13" x14ac:dyDescent="0.3">
      <c r="A123" t="s">
        <v>160</v>
      </c>
      <c r="B123" s="1">
        <v>46180</v>
      </c>
      <c r="C123" t="s">
        <v>79</v>
      </c>
      <c r="D123" t="s">
        <v>80</v>
      </c>
      <c r="E123" t="s">
        <v>65</v>
      </c>
      <c r="F123" t="s">
        <v>25</v>
      </c>
      <c r="G123">
        <v>20</v>
      </c>
      <c r="H123">
        <v>45</v>
      </c>
      <c r="I123">
        <v>90</v>
      </c>
      <c r="J123">
        <v>85</v>
      </c>
      <c r="K123">
        <v>109</v>
      </c>
      <c r="L123">
        <v>89</v>
      </c>
      <c r="M123">
        <f t="shared" si="1"/>
        <v>1700</v>
      </c>
    </row>
    <row r="124" spans="1:13" x14ac:dyDescent="0.3">
      <c r="A124" t="s">
        <v>161</v>
      </c>
      <c r="B124" s="1">
        <v>46154</v>
      </c>
      <c r="C124" t="s">
        <v>42</v>
      </c>
      <c r="D124" t="s">
        <v>43</v>
      </c>
      <c r="E124" t="s">
        <v>24</v>
      </c>
      <c r="F124" t="s">
        <v>16</v>
      </c>
      <c r="G124">
        <v>40</v>
      </c>
      <c r="H124">
        <v>58</v>
      </c>
      <c r="I124">
        <v>118</v>
      </c>
      <c r="J124">
        <v>110</v>
      </c>
      <c r="K124">
        <v>60</v>
      </c>
      <c r="L124">
        <v>20</v>
      </c>
      <c r="M124">
        <f t="shared" si="1"/>
        <v>4400</v>
      </c>
    </row>
    <row r="125" spans="1:13" x14ac:dyDescent="0.3">
      <c r="A125" t="s">
        <v>162</v>
      </c>
      <c r="B125" s="1">
        <v>46147</v>
      </c>
      <c r="C125" t="s">
        <v>39</v>
      </c>
      <c r="D125" t="s">
        <v>40</v>
      </c>
      <c r="E125" t="s">
        <v>20</v>
      </c>
      <c r="F125" t="s">
        <v>16</v>
      </c>
      <c r="G125">
        <v>10</v>
      </c>
      <c r="H125">
        <v>140</v>
      </c>
      <c r="I125">
        <v>260</v>
      </c>
      <c r="J125">
        <v>245</v>
      </c>
      <c r="K125">
        <v>55</v>
      </c>
      <c r="L125">
        <v>45</v>
      </c>
      <c r="M125">
        <f t="shared" si="1"/>
        <v>2450</v>
      </c>
    </row>
    <row r="126" spans="1:13" x14ac:dyDescent="0.3">
      <c r="A126" t="s">
        <v>163</v>
      </c>
      <c r="B126" s="1">
        <v>46122</v>
      </c>
      <c r="C126" t="s">
        <v>79</v>
      </c>
      <c r="D126" t="s">
        <v>80</v>
      </c>
      <c r="E126" t="s">
        <v>24</v>
      </c>
      <c r="F126" t="s">
        <v>25</v>
      </c>
      <c r="G126">
        <v>40</v>
      </c>
      <c r="H126">
        <v>45</v>
      </c>
      <c r="I126">
        <v>90</v>
      </c>
      <c r="J126">
        <v>85</v>
      </c>
      <c r="K126">
        <v>78</v>
      </c>
      <c r="L126">
        <v>38</v>
      </c>
      <c r="M126">
        <f t="shared" si="1"/>
        <v>3400</v>
      </c>
    </row>
    <row r="127" spans="1:13" x14ac:dyDescent="0.3">
      <c r="A127" t="s">
        <v>164</v>
      </c>
      <c r="B127" s="1">
        <v>46042</v>
      </c>
      <c r="C127" t="s">
        <v>27</v>
      </c>
      <c r="D127" t="s">
        <v>28</v>
      </c>
      <c r="E127" t="s">
        <v>29</v>
      </c>
      <c r="F127" t="s">
        <v>16</v>
      </c>
      <c r="G127">
        <v>50</v>
      </c>
      <c r="H127">
        <v>40</v>
      </c>
      <c r="I127">
        <v>80</v>
      </c>
      <c r="J127">
        <v>75</v>
      </c>
      <c r="K127">
        <v>53</v>
      </c>
      <c r="L127">
        <v>3</v>
      </c>
      <c r="M127">
        <f t="shared" si="1"/>
        <v>3750</v>
      </c>
    </row>
    <row r="128" spans="1:13" x14ac:dyDescent="0.3">
      <c r="A128" t="s">
        <v>165</v>
      </c>
      <c r="B128" s="1">
        <v>46111</v>
      </c>
      <c r="C128" t="s">
        <v>27</v>
      </c>
      <c r="D128" t="s">
        <v>28</v>
      </c>
      <c r="E128" t="s">
        <v>20</v>
      </c>
      <c r="F128" t="s">
        <v>25</v>
      </c>
      <c r="G128">
        <v>55</v>
      </c>
      <c r="H128">
        <v>40</v>
      </c>
      <c r="I128">
        <v>80</v>
      </c>
      <c r="J128">
        <v>75</v>
      </c>
      <c r="K128">
        <v>61</v>
      </c>
      <c r="L128">
        <v>6</v>
      </c>
      <c r="M128">
        <f t="shared" si="1"/>
        <v>4125</v>
      </c>
    </row>
    <row r="129" spans="1:13" x14ac:dyDescent="0.3">
      <c r="A129" t="s">
        <v>166</v>
      </c>
      <c r="B129" s="1">
        <v>46094</v>
      </c>
      <c r="C129" t="s">
        <v>31</v>
      </c>
      <c r="D129" t="s">
        <v>32</v>
      </c>
      <c r="E129" t="s">
        <v>65</v>
      </c>
      <c r="F129" t="s">
        <v>25</v>
      </c>
      <c r="G129">
        <v>28</v>
      </c>
      <c r="H129">
        <v>52</v>
      </c>
      <c r="I129">
        <v>105</v>
      </c>
      <c r="J129">
        <v>98</v>
      </c>
      <c r="K129">
        <v>63</v>
      </c>
      <c r="L129">
        <v>35</v>
      </c>
      <c r="M129">
        <f t="shared" si="1"/>
        <v>2744</v>
      </c>
    </row>
    <row r="130" spans="1:13" x14ac:dyDescent="0.3">
      <c r="A130" t="s">
        <v>167</v>
      </c>
      <c r="B130" s="1">
        <v>46028</v>
      </c>
      <c r="C130" t="s">
        <v>42</v>
      </c>
      <c r="D130" t="s">
        <v>43</v>
      </c>
      <c r="E130" t="s">
        <v>15</v>
      </c>
      <c r="F130" t="s">
        <v>25</v>
      </c>
      <c r="G130">
        <v>28</v>
      </c>
      <c r="H130">
        <v>58</v>
      </c>
      <c r="I130">
        <v>118</v>
      </c>
      <c r="J130">
        <v>110</v>
      </c>
      <c r="K130">
        <v>87</v>
      </c>
      <c r="L130">
        <v>59</v>
      </c>
      <c r="M130">
        <f t="shared" si="1"/>
        <v>3080</v>
      </c>
    </row>
    <row r="131" spans="1:13" x14ac:dyDescent="0.3">
      <c r="A131" t="s">
        <v>168</v>
      </c>
      <c r="B131" s="1">
        <v>46131</v>
      </c>
      <c r="C131" t="s">
        <v>22</v>
      </c>
      <c r="D131" t="s">
        <v>23</v>
      </c>
      <c r="E131" t="s">
        <v>24</v>
      </c>
      <c r="F131" t="s">
        <v>25</v>
      </c>
      <c r="G131">
        <v>33</v>
      </c>
      <c r="H131">
        <v>60</v>
      </c>
      <c r="I131">
        <v>120</v>
      </c>
      <c r="J131">
        <v>112</v>
      </c>
      <c r="K131">
        <v>100</v>
      </c>
      <c r="L131">
        <v>67</v>
      </c>
      <c r="M131">
        <f t="shared" ref="M131:M181" si="2">G131*J131</f>
        <v>3696</v>
      </c>
    </row>
    <row r="132" spans="1:13" x14ac:dyDescent="0.3">
      <c r="A132" t="s">
        <v>169</v>
      </c>
      <c r="B132" s="1">
        <v>46185</v>
      </c>
      <c r="C132" t="s">
        <v>55</v>
      </c>
      <c r="D132" t="s">
        <v>56</v>
      </c>
      <c r="E132" t="s">
        <v>15</v>
      </c>
      <c r="F132" t="s">
        <v>16</v>
      </c>
      <c r="G132">
        <v>22</v>
      </c>
      <c r="H132">
        <v>46</v>
      </c>
      <c r="I132">
        <v>92</v>
      </c>
      <c r="J132">
        <v>88</v>
      </c>
      <c r="K132">
        <v>66</v>
      </c>
      <c r="L132">
        <v>44</v>
      </c>
      <c r="M132">
        <f t="shared" si="2"/>
        <v>1936</v>
      </c>
    </row>
    <row r="133" spans="1:13" x14ac:dyDescent="0.3">
      <c r="A133" t="s">
        <v>170</v>
      </c>
      <c r="B133" s="1">
        <v>46079</v>
      </c>
      <c r="C133" t="s">
        <v>42</v>
      </c>
      <c r="D133" t="s">
        <v>43</v>
      </c>
      <c r="E133" t="s">
        <v>20</v>
      </c>
      <c r="F133" t="s">
        <v>25</v>
      </c>
      <c r="G133">
        <v>23</v>
      </c>
      <c r="H133">
        <v>58</v>
      </c>
      <c r="I133">
        <v>118</v>
      </c>
      <c r="J133">
        <v>110</v>
      </c>
      <c r="K133">
        <v>125</v>
      </c>
      <c r="L133">
        <v>102</v>
      </c>
      <c r="M133">
        <f t="shared" si="2"/>
        <v>2530</v>
      </c>
    </row>
    <row r="134" spans="1:13" x14ac:dyDescent="0.3">
      <c r="A134" t="s">
        <v>171</v>
      </c>
      <c r="B134" s="1">
        <v>46035</v>
      </c>
      <c r="C134" t="s">
        <v>39</v>
      </c>
      <c r="D134" t="s">
        <v>40</v>
      </c>
      <c r="E134" t="s">
        <v>29</v>
      </c>
      <c r="F134" t="s">
        <v>25</v>
      </c>
      <c r="G134">
        <v>13</v>
      </c>
      <c r="H134">
        <v>140</v>
      </c>
      <c r="I134">
        <v>260</v>
      </c>
      <c r="J134">
        <v>245</v>
      </c>
      <c r="K134">
        <v>66</v>
      </c>
      <c r="L134">
        <v>53</v>
      </c>
      <c r="M134">
        <f t="shared" si="2"/>
        <v>3185</v>
      </c>
    </row>
    <row r="135" spans="1:13" x14ac:dyDescent="0.3">
      <c r="A135" t="s">
        <v>172</v>
      </c>
      <c r="B135" s="1">
        <v>46093</v>
      </c>
      <c r="C135" t="s">
        <v>27</v>
      </c>
      <c r="D135" t="s">
        <v>28</v>
      </c>
      <c r="E135" t="s">
        <v>15</v>
      </c>
      <c r="F135" t="s">
        <v>25</v>
      </c>
      <c r="G135">
        <v>55</v>
      </c>
      <c r="H135">
        <v>40</v>
      </c>
      <c r="I135">
        <v>80</v>
      </c>
      <c r="J135">
        <v>75</v>
      </c>
      <c r="K135">
        <v>56</v>
      </c>
      <c r="L135">
        <v>1</v>
      </c>
      <c r="M135">
        <f t="shared" si="2"/>
        <v>4125</v>
      </c>
    </row>
    <row r="136" spans="1:13" x14ac:dyDescent="0.3">
      <c r="A136" t="s">
        <v>173</v>
      </c>
      <c r="B136" s="1">
        <v>46085</v>
      </c>
      <c r="C136" t="s">
        <v>13</v>
      </c>
      <c r="D136" t="s">
        <v>14</v>
      </c>
      <c r="E136" t="s">
        <v>29</v>
      </c>
      <c r="F136" t="s">
        <v>25</v>
      </c>
      <c r="G136">
        <v>10</v>
      </c>
      <c r="H136">
        <v>48</v>
      </c>
      <c r="I136">
        <v>95</v>
      </c>
      <c r="J136">
        <v>90</v>
      </c>
      <c r="K136">
        <v>61</v>
      </c>
      <c r="L136">
        <v>51</v>
      </c>
      <c r="M136">
        <f t="shared" si="2"/>
        <v>900</v>
      </c>
    </row>
    <row r="137" spans="1:13" x14ac:dyDescent="0.3">
      <c r="A137" t="s">
        <v>174</v>
      </c>
      <c r="B137" s="1">
        <v>46201</v>
      </c>
      <c r="C137" t="s">
        <v>42</v>
      </c>
      <c r="D137" t="s">
        <v>43</v>
      </c>
      <c r="E137" t="s">
        <v>15</v>
      </c>
      <c r="F137" t="s">
        <v>25</v>
      </c>
      <c r="G137">
        <v>32</v>
      </c>
      <c r="H137">
        <v>58</v>
      </c>
      <c r="I137">
        <v>118</v>
      </c>
      <c r="J137">
        <v>110</v>
      </c>
      <c r="K137">
        <v>128</v>
      </c>
      <c r="L137">
        <v>96</v>
      </c>
      <c r="M137">
        <f t="shared" si="2"/>
        <v>3520</v>
      </c>
    </row>
    <row r="138" spans="1:13" x14ac:dyDescent="0.3">
      <c r="A138" t="s">
        <v>175</v>
      </c>
      <c r="B138" s="1">
        <v>46106</v>
      </c>
      <c r="C138" t="s">
        <v>39</v>
      </c>
      <c r="D138" t="s">
        <v>40</v>
      </c>
      <c r="E138" t="s">
        <v>24</v>
      </c>
      <c r="F138" t="s">
        <v>16</v>
      </c>
      <c r="G138">
        <v>15</v>
      </c>
      <c r="H138">
        <v>140</v>
      </c>
      <c r="I138">
        <v>260</v>
      </c>
      <c r="J138">
        <v>245</v>
      </c>
      <c r="K138">
        <v>54</v>
      </c>
      <c r="L138">
        <v>39</v>
      </c>
      <c r="M138">
        <f t="shared" si="2"/>
        <v>3675</v>
      </c>
    </row>
    <row r="139" spans="1:13" x14ac:dyDescent="0.3">
      <c r="A139" t="s">
        <v>176</v>
      </c>
      <c r="B139" s="1">
        <v>46186</v>
      </c>
      <c r="C139" t="s">
        <v>79</v>
      </c>
      <c r="D139" t="s">
        <v>80</v>
      </c>
      <c r="E139" t="s">
        <v>24</v>
      </c>
      <c r="F139" t="s">
        <v>25</v>
      </c>
      <c r="G139">
        <v>17</v>
      </c>
      <c r="H139">
        <v>45</v>
      </c>
      <c r="I139">
        <v>90</v>
      </c>
      <c r="J139">
        <v>85</v>
      </c>
      <c r="K139">
        <v>88</v>
      </c>
      <c r="L139">
        <v>71</v>
      </c>
      <c r="M139">
        <f t="shared" si="2"/>
        <v>1445</v>
      </c>
    </row>
    <row r="140" spans="1:13" x14ac:dyDescent="0.3">
      <c r="A140" t="s">
        <v>177</v>
      </c>
      <c r="B140" s="1">
        <v>46117</v>
      </c>
      <c r="C140" t="s">
        <v>22</v>
      </c>
      <c r="D140" t="s">
        <v>23</v>
      </c>
      <c r="E140" t="s">
        <v>24</v>
      </c>
      <c r="F140" t="s">
        <v>16</v>
      </c>
      <c r="G140">
        <v>18</v>
      </c>
      <c r="H140">
        <v>60</v>
      </c>
      <c r="I140">
        <v>120</v>
      </c>
      <c r="J140">
        <v>112</v>
      </c>
      <c r="K140">
        <v>60</v>
      </c>
      <c r="L140">
        <v>42</v>
      </c>
      <c r="M140">
        <f t="shared" si="2"/>
        <v>2016</v>
      </c>
    </row>
    <row r="141" spans="1:13" x14ac:dyDescent="0.3">
      <c r="A141" t="s">
        <v>178</v>
      </c>
      <c r="B141" s="1">
        <v>46053</v>
      </c>
      <c r="C141" t="s">
        <v>13</v>
      </c>
      <c r="D141" t="s">
        <v>14</v>
      </c>
      <c r="E141" t="s">
        <v>24</v>
      </c>
      <c r="F141" t="s">
        <v>25</v>
      </c>
      <c r="G141">
        <v>19</v>
      </c>
      <c r="H141">
        <v>48</v>
      </c>
      <c r="I141">
        <v>95</v>
      </c>
      <c r="J141">
        <v>90</v>
      </c>
      <c r="K141">
        <v>93</v>
      </c>
      <c r="L141">
        <v>74</v>
      </c>
      <c r="M141">
        <f t="shared" si="2"/>
        <v>1710</v>
      </c>
    </row>
    <row r="142" spans="1:13" x14ac:dyDescent="0.3">
      <c r="A142" t="s">
        <v>179</v>
      </c>
      <c r="B142" s="1">
        <v>46126</v>
      </c>
      <c r="C142" t="s">
        <v>18</v>
      </c>
      <c r="D142" t="s">
        <v>19</v>
      </c>
      <c r="E142" t="s">
        <v>24</v>
      </c>
      <c r="F142" t="s">
        <v>25</v>
      </c>
      <c r="G142">
        <v>10</v>
      </c>
      <c r="H142">
        <v>55</v>
      </c>
      <c r="I142">
        <v>110</v>
      </c>
      <c r="J142">
        <v>100</v>
      </c>
      <c r="K142">
        <v>176</v>
      </c>
      <c r="L142">
        <v>166</v>
      </c>
      <c r="M142">
        <f t="shared" si="2"/>
        <v>1000</v>
      </c>
    </row>
    <row r="143" spans="1:13" x14ac:dyDescent="0.3">
      <c r="A143" t="s">
        <v>180</v>
      </c>
      <c r="B143" s="1">
        <v>46193</v>
      </c>
      <c r="C143" t="s">
        <v>13</v>
      </c>
      <c r="D143" t="s">
        <v>14</v>
      </c>
      <c r="E143" t="s">
        <v>65</v>
      </c>
      <c r="F143" t="s">
        <v>16</v>
      </c>
      <c r="G143">
        <v>12</v>
      </c>
      <c r="H143">
        <v>48</v>
      </c>
      <c r="I143">
        <v>95</v>
      </c>
      <c r="J143">
        <v>90</v>
      </c>
      <c r="K143">
        <v>101</v>
      </c>
      <c r="L143">
        <v>89</v>
      </c>
      <c r="M143">
        <f t="shared" si="2"/>
        <v>1080</v>
      </c>
    </row>
    <row r="144" spans="1:13" x14ac:dyDescent="0.3">
      <c r="A144" t="s">
        <v>181</v>
      </c>
      <c r="B144" s="1">
        <v>46155</v>
      </c>
      <c r="C144" t="s">
        <v>55</v>
      </c>
      <c r="D144" t="s">
        <v>56</v>
      </c>
      <c r="E144" t="s">
        <v>29</v>
      </c>
      <c r="F144" t="s">
        <v>25</v>
      </c>
      <c r="G144">
        <v>16</v>
      </c>
      <c r="H144">
        <v>46</v>
      </c>
      <c r="I144">
        <v>92</v>
      </c>
      <c r="J144">
        <v>88</v>
      </c>
      <c r="K144">
        <v>136</v>
      </c>
      <c r="L144">
        <v>120</v>
      </c>
      <c r="M144">
        <f t="shared" si="2"/>
        <v>1408</v>
      </c>
    </row>
    <row r="145" spans="1:13" x14ac:dyDescent="0.3">
      <c r="A145" t="s">
        <v>182</v>
      </c>
      <c r="B145" s="1">
        <v>46148</v>
      </c>
      <c r="C145" t="s">
        <v>42</v>
      </c>
      <c r="D145" t="s">
        <v>43</v>
      </c>
      <c r="E145" t="s">
        <v>15</v>
      </c>
      <c r="F145" t="s">
        <v>16</v>
      </c>
      <c r="G145">
        <v>10</v>
      </c>
      <c r="H145">
        <v>58</v>
      </c>
      <c r="I145">
        <v>118</v>
      </c>
      <c r="J145">
        <v>110</v>
      </c>
      <c r="K145">
        <v>105</v>
      </c>
      <c r="L145">
        <v>95</v>
      </c>
      <c r="M145">
        <f t="shared" si="2"/>
        <v>1100</v>
      </c>
    </row>
    <row r="146" spans="1:13" x14ac:dyDescent="0.3">
      <c r="A146" t="s">
        <v>183</v>
      </c>
      <c r="B146" s="1">
        <v>46124</v>
      </c>
      <c r="C146" t="s">
        <v>27</v>
      </c>
      <c r="D146" t="s">
        <v>28</v>
      </c>
      <c r="E146" t="s">
        <v>15</v>
      </c>
      <c r="F146" t="s">
        <v>25</v>
      </c>
      <c r="G146">
        <v>44</v>
      </c>
      <c r="H146">
        <v>40</v>
      </c>
      <c r="I146">
        <v>80</v>
      </c>
      <c r="J146">
        <v>75</v>
      </c>
      <c r="K146">
        <v>43</v>
      </c>
      <c r="L146">
        <v>0</v>
      </c>
      <c r="M146">
        <f t="shared" si="2"/>
        <v>3300</v>
      </c>
    </row>
    <row r="147" spans="1:13" x14ac:dyDescent="0.3">
      <c r="A147" t="s">
        <v>184</v>
      </c>
      <c r="B147" s="1">
        <v>46132</v>
      </c>
      <c r="C147" t="s">
        <v>27</v>
      </c>
      <c r="D147" t="s">
        <v>28</v>
      </c>
      <c r="E147" t="s">
        <v>24</v>
      </c>
      <c r="F147" t="s">
        <v>16</v>
      </c>
      <c r="G147">
        <v>42</v>
      </c>
      <c r="H147">
        <v>40</v>
      </c>
      <c r="I147">
        <v>80</v>
      </c>
      <c r="J147">
        <v>75</v>
      </c>
      <c r="K147">
        <v>80</v>
      </c>
      <c r="L147">
        <v>38</v>
      </c>
      <c r="M147">
        <f t="shared" si="2"/>
        <v>3150</v>
      </c>
    </row>
    <row r="148" spans="1:13" x14ac:dyDescent="0.3">
      <c r="A148" t="s">
        <v>185</v>
      </c>
      <c r="B148" s="1">
        <v>46035</v>
      </c>
      <c r="C148" t="s">
        <v>79</v>
      </c>
      <c r="D148" t="s">
        <v>80</v>
      </c>
      <c r="E148" t="s">
        <v>15</v>
      </c>
      <c r="F148" t="s">
        <v>16</v>
      </c>
      <c r="G148">
        <v>22</v>
      </c>
      <c r="H148">
        <v>45</v>
      </c>
      <c r="I148">
        <v>90</v>
      </c>
      <c r="J148">
        <v>85</v>
      </c>
      <c r="K148">
        <v>62</v>
      </c>
      <c r="L148">
        <v>40</v>
      </c>
      <c r="M148">
        <f t="shared" si="2"/>
        <v>1870</v>
      </c>
    </row>
    <row r="149" spans="1:13" x14ac:dyDescent="0.3">
      <c r="A149" t="s">
        <v>186</v>
      </c>
      <c r="B149" s="1">
        <v>46051</v>
      </c>
      <c r="C149" t="s">
        <v>22</v>
      </c>
      <c r="D149" t="s">
        <v>23</v>
      </c>
      <c r="E149" t="s">
        <v>20</v>
      </c>
      <c r="F149" t="s">
        <v>25</v>
      </c>
      <c r="G149">
        <v>24</v>
      </c>
      <c r="H149">
        <v>60</v>
      </c>
      <c r="I149">
        <v>120</v>
      </c>
      <c r="J149">
        <v>112</v>
      </c>
      <c r="K149">
        <v>104</v>
      </c>
      <c r="L149">
        <v>80</v>
      </c>
      <c r="M149">
        <f t="shared" si="2"/>
        <v>2688</v>
      </c>
    </row>
    <row r="150" spans="1:13" x14ac:dyDescent="0.3">
      <c r="A150" t="s">
        <v>187</v>
      </c>
      <c r="B150" s="1">
        <v>46047</v>
      </c>
      <c r="C150" t="s">
        <v>36</v>
      </c>
      <c r="D150" t="s">
        <v>37</v>
      </c>
      <c r="E150" t="s">
        <v>15</v>
      </c>
      <c r="F150" t="s">
        <v>25</v>
      </c>
      <c r="G150">
        <v>37</v>
      </c>
      <c r="H150">
        <v>50</v>
      </c>
      <c r="I150">
        <v>100</v>
      </c>
      <c r="J150">
        <v>94</v>
      </c>
      <c r="K150">
        <v>114</v>
      </c>
      <c r="L150">
        <v>77</v>
      </c>
      <c r="M150">
        <f t="shared" si="2"/>
        <v>3478</v>
      </c>
    </row>
    <row r="151" spans="1:13" x14ac:dyDescent="0.3">
      <c r="A151" t="s">
        <v>188</v>
      </c>
      <c r="B151" s="1">
        <v>46172</v>
      </c>
      <c r="C151" t="s">
        <v>27</v>
      </c>
      <c r="D151" t="s">
        <v>28</v>
      </c>
      <c r="E151" t="s">
        <v>15</v>
      </c>
      <c r="F151" t="s">
        <v>25</v>
      </c>
      <c r="G151">
        <v>36</v>
      </c>
      <c r="H151">
        <v>40</v>
      </c>
      <c r="I151">
        <v>80</v>
      </c>
      <c r="J151">
        <v>75</v>
      </c>
      <c r="K151">
        <v>64</v>
      </c>
      <c r="L151">
        <v>28</v>
      </c>
      <c r="M151">
        <f t="shared" si="2"/>
        <v>2700</v>
      </c>
    </row>
    <row r="152" spans="1:13" x14ac:dyDescent="0.3">
      <c r="A152" t="s">
        <v>189</v>
      </c>
      <c r="B152" s="1">
        <v>46160</v>
      </c>
      <c r="C152" t="s">
        <v>13</v>
      </c>
      <c r="D152" t="s">
        <v>14</v>
      </c>
      <c r="E152" t="s">
        <v>29</v>
      </c>
      <c r="F152" t="s">
        <v>25</v>
      </c>
      <c r="G152">
        <v>20</v>
      </c>
      <c r="H152">
        <v>48</v>
      </c>
      <c r="I152">
        <v>95</v>
      </c>
      <c r="J152">
        <v>90</v>
      </c>
      <c r="K152">
        <v>138</v>
      </c>
      <c r="L152">
        <v>118</v>
      </c>
      <c r="M152">
        <f t="shared" si="2"/>
        <v>1800</v>
      </c>
    </row>
    <row r="153" spans="1:13" x14ac:dyDescent="0.3">
      <c r="A153" t="s">
        <v>190</v>
      </c>
      <c r="B153" s="1">
        <v>46078</v>
      </c>
      <c r="C153" t="s">
        <v>31</v>
      </c>
      <c r="D153" t="s">
        <v>32</v>
      </c>
      <c r="E153" t="s">
        <v>65</v>
      </c>
      <c r="F153" t="s">
        <v>16</v>
      </c>
      <c r="G153">
        <v>17</v>
      </c>
      <c r="H153">
        <v>52</v>
      </c>
      <c r="I153">
        <v>105</v>
      </c>
      <c r="J153">
        <v>98</v>
      </c>
      <c r="K153">
        <v>75</v>
      </c>
      <c r="L153">
        <v>58</v>
      </c>
      <c r="M153">
        <f t="shared" si="2"/>
        <v>1666</v>
      </c>
    </row>
    <row r="154" spans="1:13" x14ac:dyDescent="0.3">
      <c r="A154" t="s">
        <v>191</v>
      </c>
      <c r="B154" s="1">
        <v>46128</v>
      </c>
      <c r="C154" t="s">
        <v>27</v>
      </c>
      <c r="D154" t="s">
        <v>28</v>
      </c>
      <c r="E154" t="s">
        <v>24</v>
      </c>
      <c r="F154" t="s">
        <v>25</v>
      </c>
      <c r="G154">
        <v>42</v>
      </c>
      <c r="H154">
        <v>40</v>
      </c>
      <c r="I154">
        <v>80</v>
      </c>
      <c r="J154">
        <v>75</v>
      </c>
      <c r="K154">
        <v>55</v>
      </c>
      <c r="L154">
        <v>13</v>
      </c>
      <c r="M154">
        <f t="shared" si="2"/>
        <v>3150</v>
      </c>
    </row>
    <row r="155" spans="1:13" x14ac:dyDescent="0.3">
      <c r="A155" t="s">
        <v>192</v>
      </c>
      <c r="B155" s="1">
        <v>46127</v>
      </c>
      <c r="C155" t="s">
        <v>55</v>
      </c>
      <c r="D155" t="s">
        <v>56</v>
      </c>
      <c r="E155" t="s">
        <v>15</v>
      </c>
      <c r="F155" t="s">
        <v>16</v>
      </c>
      <c r="G155">
        <v>10</v>
      </c>
      <c r="H155">
        <v>46</v>
      </c>
      <c r="I155">
        <v>92</v>
      </c>
      <c r="J155">
        <v>88</v>
      </c>
      <c r="K155">
        <v>93</v>
      </c>
      <c r="L155">
        <v>83</v>
      </c>
      <c r="M155">
        <f t="shared" si="2"/>
        <v>880</v>
      </c>
    </row>
    <row r="156" spans="1:13" x14ac:dyDescent="0.3">
      <c r="A156" t="s">
        <v>193</v>
      </c>
      <c r="B156" s="1">
        <v>46042</v>
      </c>
      <c r="C156" t="s">
        <v>55</v>
      </c>
      <c r="D156" t="s">
        <v>56</v>
      </c>
      <c r="E156" t="s">
        <v>24</v>
      </c>
      <c r="F156" t="s">
        <v>16</v>
      </c>
      <c r="G156">
        <v>14</v>
      </c>
      <c r="H156">
        <v>46</v>
      </c>
      <c r="I156">
        <v>92</v>
      </c>
      <c r="J156">
        <v>88</v>
      </c>
      <c r="K156">
        <v>124</v>
      </c>
      <c r="L156">
        <v>110</v>
      </c>
      <c r="M156">
        <f t="shared" si="2"/>
        <v>1232</v>
      </c>
    </row>
    <row r="157" spans="1:13" x14ac:dyDescent="0.3">
      <c r="A157" t="s">
        <v>194</v>
      </c>
      <c r="B157" s="1">
        <v>46074</v>
      </c>
      <c r="C157" t="s">
        <v>22</v>
      </c>
      <c r="D157" t="s">
        <v>23</v>
      </c>
      <c r="E157" t="s">
        <v>20</v>
      </c>
      <c r="F157" t="s">
        <v>25</v>
      </c>
      <c r="G157">
        <v>18</v>
      </c>
      <c r="H157">
        <v>60</v>
      </c>
      <c r="I157">
        <v>120</v>
      </c>
      <c r="J157">
        <v>112</v>
      </c>
      <c r="K157">
        <v>119</v>
      </c>
      <c r="L157">
        <v>101</v>
      </c>
      <c r="M157">
        <f t="shared" si="2"/>
        <v>2016</v>
      </c>
    </row>
    <row r="158" spans="1:13" x14ac:dyDescent="0.3">
      <c r="A158" t="s">
        <v>195</v>
      </c>
      <c r="B158" s="1">
        <v>46143</v>
      </c>
      <c r="C158" t="s">
        <v>18</v>
      </c>
      <c r="D158" t="s">
        <v>19</v>
      </c>
      <c r="E158" t="s">
        <v>24</v>
      </c>
      <c r="F158" t="s">
        <v>25</v>
      </c>
      <c r="G158">
        <v>9</v>
      </c>
      <c r="H158">
        <v>55</v>
      </c>
      <c r="I158">
        <v>110</v>
      </c>
      <c r="J158">
        <v>100</v>
      </c>
      <c r="K158">
        <v>135</v>
      </c>
      <c r="L158">
        <v>126</v>
      </c>
      <c r="M158">
        <f t="shared" si="2"/>
        <v>900</v>
      </c>
    </row>
    <row r="159" spans="1:13" x14ac:dyDescent="0.3">
      <c r="A159" t="s">
        <v>196</v>
      </c>
      <c r="B159" s="1">
        <v>46039</v>
      </c>
      <c r="C159" t="s">
        <v>39</v>
      </c>
      <c r="D159" t="s">
        <v>40</v>
      </c>
      <c r="E159" t="s">
        <v>65</v>
      </c>
      <c r="F159" t="s">
        <v>25</v>
      </c>
      <c r="G159">
        <v>5</v>
      </c>
      <c r="H159">
        <v>140</v>
      </c>
      <c r="I159">
        <v>260</v>
      </c>
      <c r="J159">
        <v>245</v>
      </c>
      <c r="K159">
        <v>70</v>
      </c>
      <c r="L159">
        <v>65</v>
      </c>
      <c r="M159">
        <f t="shared" si="2"/>
        <v>1225</v>
      </c>
    </row>
    <row r="160" spans="1:13" x14ac:dyDescent="0.3">
      <c r="A160" t="s">
        <v>197</v>
      </c>
      <c r="B160" s="1">
        <v>46068</v>
      </c>
      <c r="C160" t="s">
        <v>36</v>
      </c>
      <c r="D160" t="s">
        <v>37</v>
      </c>
      <c r="E160" t="s">
        <v>65</v>
      </c>
      <c r="F160" t="s">
        <v>25</v>
      </c>
      <c r="G160">
        <v>23</v>
      </c>
      <c r="H160">
        <v>50</v>
      </c>
      <c r="I160">
        <v>100</v>
      </c>
      <c r="J160">
        <v>94</v>
      </c>
      <c r="K160">
        <v>140</v>
      </c>
      <c r="L160">
        <v>117</v>
      </c>
      <c r="M160">
        <f t="shared" si="2"/>
        <v>2162</v>
      </c>
    </row>
    <row r="161" spans="1:13" x14ac:dyDescent="0.3">
      <c r="A161" t="s">
        <v>198</v>
      </c>
      <c r="B161" s="1">
        <v>46167</v>
      </c>
      <c r="C161" t="s">
        <v>22</v>
      </c>
      <c r="D161" t="s">
        <v>23</v>
      </c>
      <c r="E161" t="s">
        <v>29</v>
      </c>
      <c r="F161" t="s">
        <v>25</v>
      </c>
      <c r="G161">
        <v>11</v>
      </c>
      <c r="H161">
        <v>60</v>
      </c>
      <c r="I161">
        <v>120</v>
      </c>
      <c r="J161">
        <v>112</v>
      </c>
      <c r="K161">
        <v>84</v>
      </c>
      <c r="L161">
        <v>73</v>
      </c>
      <c r="M161">
        <f t="shared" si="2"/>
        <v>1232</v>
      </c>
    </row>
    <row r="162" spans="1:13" x14ac:dyDescent="0.3">
      <c r="A162" t="s">
        <v>199</v>
      </c>
      <c r="B162" s="1">
        <v>46062</v>
      </c>
      <c r="C162" t="s">
        <v>42</v>
      </c>
      <c r="D162" t="s">
        <v>43</v>
      </c>
      <c r="E162" t="s">
        <v>29</v>
      </c>
      <c r="F162" t="s">
        <v>25</v>
      </c>
      <c r="G162">
        <v>18</v>
      </c>
      <c r="H162">
        <v>58</v>
      </c>
      <c r="I162">
        <v>118</v>
      </c>
      <c r="J162">
        <v>110</v>
      </c>
      <c r="K162">
        <v>108</v>
      </c>
      <c r="L162">
        <v>90</v>
      </c>
      <c r="M162">
        <f t="shared" si="2"/>
        <v>1980</v>
      </c>
    </row>
    <row r="163" spans="1:13" x14ac:dyDescent="0.3">
      <c r="A163" t="s">
        <v>200</v>
      </c>
      <c r="B163" s="1">
        <v>46030</v>
      </c>
      <c r="C163" t="s">
        <v>13</v>
      </c>
      <c r="D163" t="s">
        <v>14</v>
      </c>
      <c r="E163" t="s">
        <v>20</v>
      </c>
      <c r="F163" t="s">
        <v>16</v>
      </c>
      <c r="G163">
        <v>30</v>
      </c>
      <c r="H163">
        <v>48</v>
      </c>
      <c r="I163">
        <v>95</v>
      </c>
      <c r="J163">
        <v>90</v>
      </c>
      <c r="K163">
        <v>130</v>
      </c>
      <c r="L163">
        <v>100</v>
      </c>
      <c r="M163">
        <f t="shared" si="2"/>
        <v>2700</v>
      </c>
    </row>
    <row r="164" spans="1:13" x14ac:dyDescent="0.3">
      <c r="A164" t="s">
        <v>201</v>
      </c>
      <c r="B164" s="1">
        <v>46059</v>
      </c>
      <c r="C164" t="s">
        <v>55</v>
      </c>
      <c r="D164" t="s">
        <v>56</v>
      </c>
      <c r="E164" t="s">
        <v>24</v>
      </c>
      <c r="F164" t="s">
        <v>25</v>
      </c>
      <c r="G164">
        <v>33</v>
      </c>
      <c r="H164">
        <v>46</v>
      </c>
      <c r="I164">
        <v>92</v>
      </c>
      <c r="J164">
        <v>88</v>
      </c>
      <c r="K164">
        <v>128</v>
      </c>
      <c r="L164">
        <v>95</v>
      </c>
      <c r="M164">
        <f t="shared" si="2"/>
        <v>2904</v>
      </c>
    </row>
    <row r="165" spans="1:13" x14ac:dyDescent="0.3">
      <c r="A165" t="s">
        <v>202</v>
      </c>
      <c r="B165" s="1">
        <v>46117</v>
      </c>
      <c r="C165" t="s">
        <v>22</v>
      </c>
      <c r="D165" t="s">
        <v>23</v>
      </c>
      <c r="E165" t="s">
        <v>65</v>
      </c>
      <c r="F165" t="s">
        <v>16</v>
      </c>
      <c r="G165">
        <v>37</v>
      </c>
      <c r="H165">
        <v>60</v>
      </c>
      <c r="I165">
        <v>120</v>
      </c>
      <c r="J165">
        <v>112</v>
      </c>
      <c r="K165">
        <v>99</v>
      </c>
      <c r="L165">
        <v>62</v>
      </c>
      <c r="M165">
        <f t="shared" si="2"/>
        <v>4144</v>
      </c>
    </row>
    <row r="166" spans="1:13" x14ac:dyDescent="0.3">
      <c r="A166" t="s">
        <v>203</v>
      </c>
      <c r="B166" s="1">
        <v>46122</v>
      </c>
      <c r="C166" t="s">
        <v>39</v>
      </c>
      <c r="D166" t="s">
        <v>40</v>
      </c>
      <c r="E166" t="s">
        <v>15</v>
      </c>
      <c r="F166" t="s">
        <v>16</v>
      </c>
      <c r="G166">
        <v>12</v>
      </c>
      <c r="H166">
        <v>140</v>
      </c>
      <c r="I166">
        <v>260</v>
      </c>
      <c r="J166">
        <v>245</v>
      </c>
      <c r="K166">
        <v>61</v>
      </c>
      <c r="L166">
        <v>49</v>
      </c>
      <c r="M166">
        <f t="shared" si="2"/>
        <v>2940</v>
      </c>
    </row>
    <row r="167" spans="1:13" x14ac:dyDescent="0.3">
      <c r="A167" t="s">
        <v>204</v>
      </c>
      <c r="B167" s="1">
        <v>46138</v>
      </c>
      <c r="C167" t="s">
        <v>42</v>
      </c>
      <c r="D167" t="s">
        <v>43</v>
      </c>
      <c r="E167" t="s">
        <v>20</v>
      </c>
      <c r="F167" t="s">
        <v>25</v>
      </c>
      <c r="G167">
        <v>31</v>
      </c>
      <c r="H167">
        <v>58</v>
      </c>
      <c r="I167">
        <v>118</v>
      </c>
      <c r="J167">
        <v>110</v>
      </c>
      <c r="K167">
        <v>131</v>
      </c>
      <c r="L167">
        <v>100</v>
      </c>
      <c r="M167">
        <f t="shared" si="2"/>
        <v>3410</v>
      </c>
    </row>
    <row r="168" spans="1:13" x14ac:dyDescent="0.3">
      <c r="A168" t="s">
        <v>205</v>
      </c>
      <c r="B168" s="1">
        <v>46119</v>
      </c>
      <c r="C168" t="s">
        <v>13</v>
      </c>
      <c r="D168" t="s">
        <v>14</v>
      </c>
      <c r="E168" t="s">
        <v>65</v>
      </c>
      <c r="F168" t="s">
        <v>25</v>
      </c>
      <c r="G168">
        <v>28</v>
      </c>
      <c r="H168">
        <v>48</v>
      </c>
      <c r="I168">
        <v>95</v>
      </c>
      <c r="J168">
        <v>90</v>
      </c>
      <c r="K168">
        <v>125</v>
      </c>
      <c r="L168">
        <v>97</v>
      </c>
      <c r="M168">
        <f t="shared" si="2"/>
        <v>2520</v>
      </c>
    </row>
    <row r="169" spans="1:13" x14ac:dyDescent="0.3">
      <c r="A169" t="s">
        <v>206</v>
      </c>
      <c r="B169" s="1">
        <v>46110</v>
      </c>
      <c r="C169" t="s">
        <v>79</v>
      </c>
      <c r="D169" t="s">
        <v>80</v>
      </c>
      <c r="E169" t="s">
        <v>20</v>
      </c>
      <c r="F169" t="s">
        <v>25</v>
      </c>
      <c r="G169">
        <v>30</v>
      </c>
      <c r="H169">
        <v>45</v>
      </c>
      <c r="I169">
        <v>90</v>
      </c>
      <c r="J169">
        <v>85</v>
      </c>
      <c r="K169">
        <v>135</v>
      </c>
      <c r="L169">
        <v>105</v>
      </c>
      <c r="M169">
        <f t="shared" si="2"/>
        <v>2550</v>
      </c>
    </row>
    <row r="170" spans="1:13" x14ac:dyDescent="0.3">
      <c r="A170" t="s">
        <v>207</v>
      </c>
      <c r="B170" s="1">
        <v>46128</v>
      </c>
      <c r="C170" t="s">
        <v>42</v>
      </c>
      <c r="D170" t="s">
        <v>43</v>
      </c>
      <c r="E170" t="s">
        <v>20</v>
      </c>
      <c r="F170" t="s">
        <v>25</v>
      </c>
      <c r="G170">
        <v>13</v>
      </c>
      <c r="H170">
        <v>58</v>
      </c>
      <c r="I170">
        <v>118</v>
      </c>
      <c r="J170">
        <v>110</v>
      </c>
      <c r="K170">
        <v>120</v>
      </c>
      <c r="L170">
        <v>107</v>
      </c>
      <c r="M170">
        <f t="shared" si="2"/>
        <v>1430</v>
      </c>
    </row>
    <row r="171" spans="1:13" x14ac:dyDescent="0.3">
      <c r="A171" t="s">
        <v>208</v>
      </c>
      <c r="B171" s="1">
        <v>46170</v>
      </c>
      <c r="C171" t="s">
        <v>42</v>
      </c>
      <c r="D171" t="s">
        <v>43</v>
      </c>
      <c r="E171" t="s">
        <v>15</v>
      </c>
      <c r="F171" t="s">
        <v>25</v>
      </c>
      <c r="G171">
        <v>40</v>
      </c>
      <c r="H171">
        <v>58</v>
      </c>
      <c r="I171">
        <v>118</v>
      </c>
      <c r="J171">
        <v>110</v>
      </c>
      <c r="K171">
        <v>132</v>
      </c>
      <c r="L171">
        <v>92</v>
      </c>
      <c r="M171">
        <f t="shared" si="2"/>
        <v>4400</v>
      </c>
    </row>
    <row r="172" spans="1:13" x14ac:dyDescent="0.3">
      <c r="A172" t="s">
        <v>209</v>
      </c>
      <c r="B172" s="1">
        <v>46031</v>
      </c>
      <c r="C172" t="s">
        <v>42</v>
      </c>
      <c r="D172" t="s">
        <v>43</v>
      </c>
      <c r="E172" t="s">
        <v>15</v>
      </c>
      <c r="F172" t="s">
        <v>25</v>
      </c>
      <c r="G172">
        <v>9</v>
      </c>
      <c r="H172">
        <v>58</v>
      </c>
      <c r="I172">
        <v>118</v>
      </c>
      <c r="J172">
        <v>110</v>
      </c>
      <c r="K172">
        <v>137</v>
      </c>
      <c r="L172">
        <v>128</v>
      </c>
      <c r="M172">
        <f t="shared" si="2"/>
        <v>990</v>
      </c>
    </row>
    <row r="173" spans="1:13" x14ac:dyDescent="0.3">
      <c r="A173" t="s">
        <v>210</v>
      </c>
      <c r="B173" s="1">
        <v>46093</v>
      </c>
      <c r="C173" t="s">
        <v>36</v>
      </c>
      <c r="D173" t="s">
        <v>37</v>
      </c>
      <c r="E173" t="s">
        <v>65</v>
      </c>
      <c r="F173" t="s">
        <v>16</v>
      </c>
      <c r="G173">
        <v>30</v>
      </c>
      <c r="H173">
        <v>50</v>
      </c>
      <c r="I173">
        <v>100</v>
      </c>
      <c r="J173">
        <v>94</v>
      </c>
      <c r="K173">
        <v>131</v>
      </c>
      <c r="L173">
        <v>101</v>
      </c>
      <c r="M173">
        <f t="shared" si="2"/>
        <v>2820</v>
      </c>
    </row>
    <row r="174" spans="1:13" x14ac:dyDescent="0.3">
      <c r="A174" t="s">
        <v>211</v>
      </c>
      <c r="B174" s="1">
        <v>46202</v>
      </c>
      <c r="C174" t="s">
        <v>42</v>
      </c>
      <c r="D174" t="s">
        <v>43</v>
      </c>
      <c r="E174" t="s">
        <v>20</v>
      </c>
      <c r="F174" t="s">
        <v>16</v>
      </c>
      <c r="G174">
        <v>19</v>
      </c>
      <c r="H174">
        <v>58</v>
      </c>
      <c r="I174">
        <v>118</v>
      </c>
      <c r="J174">
        <v>110</v>
      </c>
      <c r="K174">
        <v>68</v>
      </c>
      <c r="L174">
        <v>49</v>
      </c>
      <c r="M174">
        <f t="shared" si="2"/>
        <v>2090</v>
      </c>
    </row>
    <row r="175" spans="1:13" x14ac:dyDescent="0.3">
      <c r="A175" t="s">
        <v>212</v>
      </c>
      <c r="B175" s="1">
        <v>46095</v>
      </c>
      <c r="C175" t="s">
        <v>13</v>
      </c>
      <c r="D175" t="s">
        <v>14</v>
      </c>
      <c r="E175" t="s">
        <v>65</v>
      </c>
      <c r="F175" t="s">
        <v>25</v>
      </c>
      <c r="G175">
        <v>23</v>
      </c>
      <c r="H175">
        <v>48</v>
      </c>
      <c r="I175">
        <v>95</v>
      </c>
      <c r="J175">
        <v>90</v>
      </c>
      <c r="K175">
        <v>131</v>
      </c>
      <c r="L175">
        <v>108</v>
      </c>
      <c r="M175">
        <f t="shared" si="2"/>
        <v>2070</v>
      </c>
    </row>
    <row r="176" spans="1:13" x14ac:dyDescent="0.3">
      <c r="A176" t="s">
        <v>213</v>
      </c>
      <c r="B176" s="1">
        <v>46086</v>
      </c>
      <c r="C176" t="s">
        <v>27</v>
      </c>
      <c r="D176" t="s">
        <v>28</v>
      </c>
      <c r="E176" t="s">
        <v>65</v>
      </c>
      <c r="F176" t="s">
        <v>25</v>
      </c>
      <c r="G176">
        <v>44</v>
      </c>
      <c r="H176">
        <v>40</v>
      </c>
      <c r="I176">
        <v>80</v>
      </c>
      <c r="J176">
        <v>75</v>
      </c>
      <c r="K176">
        <v>62</v>
      </c>
      <c r="L176">
        <v>18</v>
      </c>
      <c r="M176">
        <f t="shared" si="2"/>
        <v>3300</v>
      </c>
    </row>
    <row r="177" spans="1:13" x14ac:dyDescent="0.3">
      <c r="A177" t="s">
        <v>214</v>
      </c>
      <c r="B177" s="1">
        <v>46155</v>
      </c>
      <c r="C177" t="s">
        <v>31</v>
      </c>
      <c r="D177" t="s">
        <v>32</v>
      </c>
      <c r="E177" t="s">
        <v>24</v>
      </c>
      <c r="F177" t="s">
        <v>16</v>
      </c>
      <c r="G177">
        <v>30</v>
      </c>
      <c r="H177">
        <v>52</v>
      </c>
      <c r="I177">
        <v>105</v>
      </c>
      <c r="J177">
        <v>98</v>
      </c>
      <c r="K177">
        <v>134</v>
      </c>
      <c r="L177">
        <v>104</v>
      </c>
      <c r="M177">
        <f t="shared" si="2"/>
        <v>2940</v>
      </c>
    </row>
    <row r="178" spans="1:13" x14ac:dyDescent="0.3">
      <c r="A178" t="s">
        <v>215</v>
      </c>
      <c r="B178" s="1">
        <v>46139</v>
      </c>
      <c r="C178" t="s">
        <v>18</v>
      </c>
      <c r="D178" t="s">
        <v>19</v>
      </c>
      <c r="E178" t="s">
        <v>20</v>
      </c>
      <c r="F178" t="s">
        <v>25</v>
      </c>
      <c r="G178">
        <v>6</v>
      </c>
      <c r="H178">
        <v>55</v>
      </c>
      <c r="I178">
        <v>110</v>
      </c>
      <c r="J178">
        <v>100</v>
      </c>
      <c r="K178">
        <v>177</v>
      </c>
      <c r="L178">
        <v>171</v>
      </c>
      <c r="M178">
        <f t="shared" si="2"/>
        <v>600</v>
      </c>
    </row>
    <row r="179" spans="1:13" x14ac:dyDescent="0.3">
      <c r="A179" t="s">
        <v>216</v>
      </c>
      <c r="B179" s="1">
        <v>46116</v>
      </c>
      <c r="C179" t="s">
        <v>42</v>
      </c>
      <c r="D179" t="s">
        <v>43</v>
      </c>
      <c r="E179" t="s">
        <v>65</v>
      </c>
      <c r="F179" t="s">
        <v>25</v>
      </c>
      <c r="G179">
        <v>6</v>
      </c>
      <c r="H179">
        <v>58</v>
      </c>
      <c r="I179">
        <v>118</v>
      </c>
      <c r="J179">
        <v>110</v>
      </c>
      <c r="K179">
        <v>101</v>
      </c>
      <c r="L179">
        <v>95</v>
      </c>
      <c r="M179">
        <f t="shared" si="2"/>
        <v>660</v>
      </c>
    </row>
    <row r="180" spans="1:13" x14ac:dyDescent="0.3">
      <c r="A180" t="s">
        <v>217</v>
      </c>
      <c r="B180" s="1">
        <v>46185</v>
      </c>
      <c r="C180" t="s">
        <v>55</v>
      </c>
      <c r="D180" t="s">
        <v>56</v>
      </c>
      <c r="E180" t="s">
        <v>29</v>
      </c>
      <c r="F180" t="s">
        <v>16</v>
      </c>
      <c r="G180">
        <v>24</v>
      </c>
      <c r="H180">
        <v>46</v>
      </c>
      <c r="I180">
        <v>92</v>
      </c>
      <c r="J180">
        <v>88</v>
      </c>
      <c r="K180">
        <v>114</v>
      </c>
      <c r="L180">
        <v>90</v>
      </c>
      <c r="M180">
        <f t="shared" si="2"/>
        <v>2112</v>
      </c>
    </row>
    <row r="181" spans="1:13" x14ac:dyDescent="0.3">
      <c r="A181" t="s">
        <v>218</v>
      </c>
      <c r="B181" s="1">
        <v>46149</v>
      </c>
      <c r="C181" t="s">
        <v>27</v>
      </c>
      <c r="D181" t="s">
        <v>28</v>
      </c>
      <c r="E181" t="s">
        <v>15</v>
      </c>
      <c r="F181" t="s">
        <v>16</v>
      </c>
      <c r="G181">
        <v>59</v>
      </c>
      <c r="H181">
        <v>40</v>
      </c>
      <c r="I181">
        <v>80</v>
      </c>
      <c r="J181">
        <v>75</v>
      </c>
      <c r="K181">
        <v>62</v>
      </c>
      <c r="L181">
        <v>3</v>
      </c>
      <c r="M181">
        <f t="shared" si="2"/>
        <v>4425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>
      <selection activeCell="C28" sqref="C28"/>
    </sheetView>
  </sheetViews>
  <sheetFormatPr defaultRowHeight="14.4" x14ac:dyDescent="0.3"/>
  <sheetData>
    <row r="1" spans="1:1" x14ac:dyDescent="0.3">
      <c r="A1" t="s">
        <v>219</v>
      </c>
    </row>
    <row r="3" spans="1:1" x14ac:dyDescent="0.3">
      <c r="A3" t="s">
        <v>220</v>
      </c>
    </row>
    <row r="5" spans="1:1" x14ac:dyDescent="0.3">
      <c r="A5" t="s">
        <v>221</v>
      </c>
    </row>
    <row r="6" spans="1:1" x14ac:dyDescent="0.3">
      <c r="A6" t="s">
        <v>222</v>
      </c>
    </row>
    <row r="7" spans="1:1" x14ac:dyDescent="0.3">
      <c r="A7" t="s">
        <v>223</v>
      </c>
    </row>
    <row r="8" spans="1:1" x14ac:dyDescent="0.3">
      <c r="A8" t="s">
        <v>224</v>
      </c>
    </row>
    <row r="9" spans="1:1" x14ac:dyDescent="0.3">
      <c r="A9" t="s">
        <v>225</v>
      </c>
    </row>
    <row r="10" spans="1:1" x14ac:dyDescent="0.3">
      <c r="A10" t="s">
        <v>226</v>
      </c>
    </row>
    <row r="11" spans="1:1" x14ac:dyDescent="0.3">
      <c r="A11" t="s">
        <v>227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16659-B241-4A17-988A-B6627C4D5B9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Sales_Data</vt:lpstr>
      <vt:lpstr>Instructions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sonal jaiswal</cp:lastModifiedBy>
  <dcterms:created xsi:type="dcterms:W3CDTF">2026-07-18T16:52:19Z</dcterms:created>
  <dcterms:modified xsi:type="dcterms:W3CDTF">2026-07-18T19:28:36Z</dcterms:modified>
</cp:coreProperties>
</file>